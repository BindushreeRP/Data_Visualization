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66925"/>
  <mc:AlternateContent xmlns:mc="http://schemas.openxmlformats.org/markup-compatibility/2006">
    <mc:Choice Requires="x15">
      <x15ac:absPath xmlns:x15ac="http://schemas.microsoft.com/office/spreadsheetml/2010/11/ac" url="https://d.docs.live.net/1832fcbd80f8d378/Desktop/"/>
    </mc:Choice>
  </mc:AlternateContent>
  <xr:revisionPtr revIDLastSave="9" documentId="8_{3D9617A2-D759-496F-B328-B5F883263429}" xr6:coauthVersionLast="47" xr6:coauthVersionMax="47" xr10:uidLastSave="{F081A3CF-472B-4826-B80D-77C009A90A66}"/>
  <bookViews>
    <workbookView xWindow="-110" yWindow="-110" windowWidth="19420" windowHeight="10420" xr2:uid="{00000000-000D-0000-FFFF-FFFF00000000}"/>
  </bookViews>
  <sheets>
    <sheet name="Stakeholder Letter" sheetId="6" r:id="rId1"/>
    <sheet name="Dashboard 1" sheetId="5" r:id="rId2"/>
    <sheet name="Dashboard 2" sheetId="9" r:id="rId3"/>
    <sheet name="References" sheetId="10" r:id="rId4"/>
  </sheets>
  <definedNames>
    <definedName name="_xlchart.v1.0" hidden="1">'Dashboard 1'!$O$30:$O$34</definedName>
    <definedName name="_xlchart.v1.1" hidden="1">'Dashboard 1'!$P$29</definedName>
    <definedName name="_xlchart.v1.2" hidden="1">'Dashboard 1'!$P$30:$P$34</definedName>
    <definedName name="_xlnm.Print_Area" localSheetId="1">'Dashboard 1'!$A$1:$M$60</definedName>
    <definedName name="_xlnm.Print_Area" localSheetId="2">'Dashboard 2'!$A$1:$M$60</definedName>
    <definedName name="_xlnm.Print_Area" localSheetId="3">References!$A$1:$M$60</definedName>
    <definedName name="_xlnm.Print_Area" localSheetId="0">'Stakeholder Letter'!$A$1:$M$60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4" i="5" l="1"/>
</calcChain>
</file>

<file path=xl/sharedStrings.xml><?xml version="1.0" encoding="utf-8"?>
<sst xmlns="http://schemas.openxmlformats.org/spreadsheetml/2006/main" count="93" uniqueCount="62">
  <si>
    <t>Other</t>
  </si>
  <si>
    <t>`</t>
  </si>
  <si>
    <t>Total</t>
  </si>
  <si>
    <t>Totatl Revenues</t>
  </si>
  <si>
    <t>Nike</t>
  </si>
  <si>
    <t>Adidas</t>
  </si>
  <si>
    <t>Puma</t>
  </si>
  <si>
    <t>Asics</t>
  </si>
  <si>
    <t>Total Revenues</t>
  </si>
  <si>
    <t>Employees</t>
  </si>
  <si>
    <t>Total Employees</t>
  </si>
  <si>
    <t>Total Operating Profit</t>
  </si>
  <si>
    <t>Diversity</t>
  </si>
  <si>
    <t>Female</t>
  </si>
  <si>
    <t>Male</t>
  </si>
  <si>
    <t>Stock Price Trend</t>
  </si>
  <si>
    <t>Stock Price</t>
  </si>
  <si>
    <t>Stock Rates, 2020</t>
  </si>
  <si>
    <t>Carbon Footprint as of 2020</t>
  </si>
  <si>
    <t>Carbon Footprint, 2020</t>
  </si>
  <si>
    <r>
      <t>Amount in Kg of CO</t>
    </r>
    <r>
      <rPr>
        <b/>
        <vertAlign val="superscript"/>
        <sz val="11"/>
        <color theme="1"/>
        <rFont val="Calibri"/>
        <family val="2"/>
        <scheme val="minor"/>
      </rPr>
      <t>2</t>
    </r>
    <r>
      <rPr>
        <b/>
        <sz val="11"/>
        <color theme="1"/>
        <rFont val="Calibri"/>
        <family val="2"/>
        <scheme val="minor"/>
      </rPr>
      <t xml:space="preserve"> per unit</t>
    </r>
  </si>
  <si>
    <t>Nike Net Income</t>
  </si>
  <si>
    <t>United States-NIKE Brand</t>
  </si>
  <si>
    <t>Europe, Middle East &amp; Africa</t>
  </si>
  <si>
    <t>Greater China-NIKE Brand</t>
  </si>
  <si>
    <t>Asia Pacific &amp; Latin America</t>
  </si>
  <si>
    <t>Converse</t>
  </si>
  <si>
    <t>North America excluding US-NIKE Brand</t>
  </si>
  <si>
    <t>Corporate</t>
  </si>
  <si>
    <t>Global Brand Divisions-NIKE Brand</t>
  </si>
  <si>
    <t>Footwear</t>
  </si>
  <si>
    <t>Apparel</t>
  </si>
  <si>
    <t>Equipment</t>
  </si>
  <si>
    <t>Nike Revenue Distribution, 2020</t>
  </si>
  <si>
    <t>Nike Net Income, 5 FY</t>
  </si>
  <si>
    <t>Freshwater Use (L/Kg)</t>
  </si>
  <si>
    <t>Water Usage per Kg of Textile</t>
  </si>
  <si>
    <t>Product Scored on Sustainability Performance</t>
  </si>
  <si>
    <t>Average Product Carbon Footprint</t>
  </si>
  <si>
    <t>Product Sustainability</t>
  </si>
  <si>
    <t>Online</t>
  </si>
  <si>
    <t>In Store</t>
  </si>
  <si>
    <t>[1] Tighe, D. (2021, September 10). Nike: Employees worldwide 2009-2020. Statista. Retrieved November 28, 2021, from https://www.statista.com/statistics/243199/number-of-employees-of-nike-worldwide: Used this to collect the statistics of employees at Nike</t>
  </si>
  <si>
    <t>Nike Revenues</t>
  </si>
  <si>
    <t>Waste Management</t>
  </si>
  <si>
    <t>Waste to Landfill</t>
  </si>
  <si>
    <t>Landfill Diversions</t>
  </si>
  <si>
    <t>Waste Management at Nike</t>
  </si>
  <si>
    <t>Sales at Nike</t>
  </si>
  <si>
    <t xml:space="preserve">It is seen through these dashboards how Nike has reduced their waste production, they have been impeccable in reducing the fresh water usage in manufacturing and production. They can possibly increase their Online sales to futher their net income as that was the major player when hit by Pandemic. </t>
  </si>
  <si>
    <r>
      <t xml:space="preserve">[2] McCann, M. (2021, September 27). </t>
    </r>
    <r>
      <rPr>
        <i/>
        <sz val="11"/>
        <color theme="1"/>
        <rFont val="Calibri"/>
        <family val="2"/>
        <scheme val="minor"/>
      </rPr>
      <t>Nike's digital sales continue to grow despite supply chain issues.</t>
    </r>
    <r>
      <rPr>
        <sz val="11"/>
        <color theme="1"/>
        <rFont val="Calibri"/>
        <family val="2"/>
        <scheme val="minor"/>
      </rPr>
      <t xml:space="preserve"> Modern Retail. Retrieved November 29, 2021, from https://www.modernretail.co/retailers/nikes-digital-sales-continue-to-grow-despite-supply-chain-issues: This resource was used to understand the trend of supply chain and how it affect Nike amidst Pandemic. </t>
    </r>
  </si>
  <si>
    <r>
      <t xml:space="preserve">[3] </t>
    </r>
    <r>
      <rPr>
        <i/>
        <sz val="11"/>
        <color theme="1"/>
        <rFont val="Calibri"/>
        <family val="2"/>
        <scheme val="minor"/>
      </rPr>
      <t>Nike.</t>
    </r>
    <r>
      <rPr>
        <sz val="11"/>
        <color theme="1"/>
        <rFont val="Calibri"/>
        <family val="2"/>
        <scheme val="minor"/>
      </rPr>
      <t xml:space="preserve"> Pitchbook. (n.d.). Retrieved November 29, 2021, from https://my.pitchbook.com/profile/25280-11/company/financials/SEGMENTS/overview-and-trends: This resource was used to get the income and financial metrics of Nike.</t>
    </r>
  </si>
  <si>
    <r>
      <t xml:space="preserve">[4] </t>
    </r>
    <r>
      <rPr>
        <i/>
        <sz val="11"/>
        <color theme="1"/>
        <rFont val="Calibri"/>
        <family val="2"/>
        <scheme val="minor"/>
      </rPr>
      <t>Asics</t>
    </r>
    <r>
      <rPr>
        <sz val="11"/>
        <color theme="1"/>
        <rFont val="Calibri"/>
        <family val="2"/>
        <scheme val="minor"/>
      </rPr>
      <t>. Pitchbook. (n.d.). Retrieved November 29, 2021, from https://my.pitchbook.com/profile/61887-61/company/profile?exchangeId=TKS&amp;amp;exchangeSymbol=7936: : This resource was used to get the income and financial metrics of Asics.</t>
    </r>
  </si>
  <si>
    <r>
      <t xml:space="preserve">[5] </t>
    </r>
    <r>
      <rPr>
        <i/>
        <sz val="11"/>
        <color theme="1"/>
        <rFont val="Calibri"/>
        <family val="2"/>
        <scheme val="minor"/>
      </rPr>
      <t>Puma</t>
    </r>
    <r>
      <rPr>
        <sz val="11"/>
        <color theme="1"/>
        <rFont val="Calibri"/>
        <family val="2"/>
        <scheme val="minor"/>
      </rPr>
      <t>. Pitchbook. (n.d.). Retrieved November 29, 2021, from https://my.pitchbook.com/profile/64191-43/company/profile?exchangeId=FRA&amp;amp;exchangeSymbol=PUM: : This resource was used to get the income and financial metrics of Puma.</t>
    </r>
  </si>
  <si>
    <r>
      <t xml:space="preserve">[6] </t>
    </r>
    <r>
      <rPr>
        <i/>
        <sz val="11"/>
        <color theme="1"/>
        <rFont val="Calibri"/>
        <family val="2"/>
        <scheme val="minor"/>
      </rPr>
      <t>Adidas</t>
    </r>
    <r>
      <rPr>
        <sz val="11"/>
        <color theme="1"/>
        <rFont val="Calibri"/>
        <family val="2"/>
        <scheme val="minor"/>
      </rPr>
      <t>. Pitchbook. (n.d.). Retrieved November 29, 2021, from https://my.pitchbook.com/profile/11345-77/company/profile?exchangeId=PINX&amp;amp;exchangeSymbol=ADDYY: : This resource was used to get the income and financial metrics of Adidas.</t>
    </r>
  </si>
  <si>
    <t>[7] Amazon Annual Report 2020. (March). 1-87: This was used as a reference stakeholder letter</t>
  </si>
  <si>
    <t>Gross Profit, 2020</t>
  </si>
  <si>
    <t xml:space="preserve">In times of crisis such as racial inequality, Covid-19 pandemic, climate emergency, and more, it is our vision to face these challenges and come up with methods to build products that are sustainable. 
At Nike, we believe in diversity, equality, and sustainability. From what started in 1964, we strive towards building sustainable products and deliver the best to our consumers. We are proud and grateful to our 75,400 employees and all the consumers in helping us create a brighter future. 
The unprecedented events of the past year have made it clear for us to take collective action in creating a great future for ourselves and the environment we live in. Our report this year focuses on several impact factors such as: 
1. Environmental Crisis
2. Sustainable Development Goals (SDGs)
    i. Climate Action
    ii. GHG (Carbon di oxide) emissions
    iii. Responsible Production
    iv. Zero Waste
3. Digitized supply chains
4. Diversity and Equality at workplace
Our strong values of hope and inspiration have guided us through this year helping us achieve about 85% of our impact factors. We used our scale and influence to develop "Just Do It" and "We Play Real" campaigns and collaborated with U.S. Olympic and Paralympic Committee, emphasizing on equality, and making sports inclusive for girls. We have been able to make impeccable achievements so far in reaching our targeted goals by employing about 49.5% of workforce with female employees, and 45% in leadership positions. We have worked towards building teams that are inclusive, where everyone can have a voice and be heard. This reflects the people that love our products, diversity of athletes we honor and the communities we serve.
At Nike, we also focus on providing the right fit and right product to every consumer, making their experience friendly and best. We also saw many supply issues with several factories being shutdown in Vietnam and Indonesia, that led to lost manufacturing time, production backlogs and decrease in operating profit ($3,115,000) and net revenues ($37,403,000) with almost 16.2 billion gross profit this year compared to 17.4 billion in 2019. Given this backlog, it is now one of our targeted areas, to plan for future supply needs based on the current sales trend. We will leverage the current purchase trends and needs of our consumers to digitize our supply chains; this will not only help us combat any unseen calamities but also keeps the operations continuous.
We also take pride in reducing the GHG emissions, current at 7.33 carbon footprint per kilogram of textile, with much more to do and achieve in this area. It is also noteworthy how we have reduced waste production at our Head Quarters and Distribution Centers by increased landfill diversion of 99.9%.
Despite all the negative outcomes 2020 had in terms of revenue, we take all the outcomes good and bad to build a future with sustainable choices and bringing a change in the world of sports while continuing to give to our community. We stand up for one of Nike’s core values, Equality to bring change and combat all the racial tensions across the world. We will continue to help our communities combat the losses incorporated both financially and personally through our community impact drive that ensured to donate shoes and apparel to the athletes in need. 
At Nike, we will always strive towards bringing the better and coming together for good. Like our purpose statement says: “Purpose guides us, because we believe that progress is possible”. We will continue to work towards the bright future we wish to bring. </t>
  </si>
  <si>
    <t>It is notable how our revenues and profits took a slight downfall due to the ongoing pandemic. We have been able to substantially reduce the fresh water usage per kg of Textile. We are doing good in terms of CO2 footprint compared to our competitors. It is evident through the graphs that our employee count and revenues did not do better than the previous years due to the ongoing pandemic.</t>
  </si>
  <si>
    <r>
      <t xml:space="preserve">[8] </t>
    </r>
    <r>
      <rPr>
        <i/>
        <sz val="11"/>
        <color theme="1"/>
        <rFont val="Calibri"/>
        <family val="2"/>
        <scheme val="minor"/>
      </rPr>
      <t>Breaking barriers.</t>
    </r>
    <r>
      <rPr>
        <sz val="11"/>
        <color theme="1"/>
        <rFont val="Calibri"/>
        <family val="2"/>
        <scheme val="minor"/>
      </rPr>
      <t xml:space="preserve"> Nike Purpose. (n.d.). Retrieved November 29, 2021, from https://purpose.nike.com: Used this site to get information about Nike's purpose journey</t>
    </r>
  </si>
  <si>
    <r>
      <t xml:space="preserve">[9] </t>
    </r>
    <r>
      <rPr>
        <i/>
        <sz val="11"/>
        <color theme="1"/>
        <rFont val="Calibri"/>
        <family val="2"/>
        <scheme val="minor"/>
      </rPr>
      <t>FY20 Nike, inc.. impact report.</t>
    </r>
    <r>
      <rPr>
        <sz val="11"/>
        <color theme="1"/>
        <rFont val="Calibri"/>
        <family val="2"/>
        <scheme val="minor"/>
      </rPr>
      <t xml:space="preserve"> Nike Purpose. (n.d.). Retrieved November 29, 2021, from https://purpose.nike.com/fy20-nike-impact-report: Used this resource as a reference to write the letter</t>
    </r>
  </si>
  <si>
    <t>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</si>
</sst>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 #,##0_);_(* \(#,##0\);_(* &quot;-&quot;??_);_(@_)"/>
    <numFmt numFmtId="165" formatCode="_-* #,##0.00_-;\-* #,##0.00_-;_-* &quot;-&quot;??_-;_-@_-"/>
    <numFmt numFmtId="166" formatCode="_(&quot;$&quot;* #,##0.0_);_(&quot;$&quot;* \(#,##0.0\);_(&quot;$&quot;* &quot;-&quot;??_);_(@_)"/>
    <numFmt numFmtId="167" formatCode="_(&quot;$&quot;* #,##0_);_(&quot;$&quot;* \(#,##0\);_(&quot;$&quot;* &quot;-&quot;??_);_(@_)"/>
  </numFmts>
  <fonts count="12">
    <font>
      <sz val="11"/>
      <color theme="1"/>
      <name val="Calibri"/>
      <family val="2"/>
      <scheme val="minor"/>
    </font>
    <font>
      <sz val="11"/>
      <color theme="1"/>
      <name val="Calibri"/>
      <family val="2"/>
      <scheme val="minor"/>
    </font>
    <font>
      <b/>
      <sz val="14"/>
      <color rgb="FF000000"/>
      <name val="Arial"/>
      <family val="2"/>
    </font>
    <font>
      <sz val="12"/>
      <color rgb="FF000000"/>
      <name val="Arial"/>
      <family val="2"/>
    </font>
    <font>
      <sz val="10"/>
      <color rgb="FF000000"/>
      <name val="Arial"/>
      <family val="2"/>
    </font>
    <font>
      <sz val="11"/>
      <color theme="1"/>
      <name val="Calibri"/>
      <family val="2"/>
      <charset val="129"/>
      <scheme val="minor"/>
    </font>
    <font>
      <b/>
      <sz val="11"/>
      <color theme="1"/>
      <name val="Calibri"/>
      <family val="2"/>
      <scheme val="minor"/>
    </font>
    <font>
      <sz val="14"/>
      <color theme="1"/>
      <name val="Calibri"/>
      <family val="2"/>
      <scheme val="minor"/>
    </font>
    <font>
      <b/>
      <vertAlign val="superscript"/>
      <sz val="11"/>
      <color theme="1"/>
      <name val="Calibri"/>
      <family val="2"/>
      <scheme val="minor"/>
    </font>
    <font>
      <i/>
      <sz val="11"/>
      <color theme="1"/>
      <name val="Calibri"/>
      <family val="2"/>
      <scheme val="minor"/>
    </font>
    <font>
      <sz val="17"/>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6" tint="0.39997558519241921"/>
        <bgColor indexed="64"/>
      </patternFill>
    </fill>
    <fill>
      <patternFill patternType="solid">
        <fgColor theme="5" tint="-0.249977111117893"/>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9" fontId="1" fillId="0" borderId="0" applyFont="0" applyFill="0" applyBorder="0" applyAlignment="0" applyProtection="0"/>
    <xf numFmtId="0" fontId="4" fillId="0" borderId="0"/>
    <xf numFmtId="44" fontId="1" fillId="0" borderId="0" applyFont="0" applyFill="0" applyBorder="0" applyAlignment="0" applyProtection="0"/>
    <xf numFmtId="0" fontId="5" fillId="0" borderId="0"/>
    <xf numFmtId="165" fontId="5" fillId="0" borderId="0" applyFont="0" applyFill="0" applyBorder="0" applyAlignment="0" applyProtection="0"/>
    <xf numFmtId="9" fontId="5" fillId="0" borderId="0" applyFont="0" applyFill="0" applyBorder="0" applyAlignment="0" applyProtection="0"/>
  </cellStyleXfs>
  <cellXfs count="63">
    <xf numFmtId="0" fontId="0" fillId="0" borderId="0" xfId="0"/>
    <xf numFmtId="0" fontId="2" fillId="0" borderId="0" xfId="0" applyFont="1"/>
    <xf numFmtId="0" fontId="3" fillId="0" borderId="0" xfId="0" applyFont="1"/>
    <xf numFmtId="0" fontId="4" fillId="0" borderId="0" xfId="0" applyFont="1"/>
    <xf numFmtId="3" fontId="3" fillId="0" borderId="0" xfId="0" applyNumberFormat="1" applyFont="1"/>
    <xf numFmtId="0" fontId="7" fillId="0" borderId="0" xfId="0" applyFont="1"/>
    <xf numFmtId="44" fontId="3" fillId="0" borderId="0" xfId="3" applyFont="1"/>
    <xf numFmtId="0" fontId="6" fillId="0" borderId="0" xfId="0" applyFont="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164" fontId="0" fillId="0" borderId="0" xfId="0" applyNumberFormat="1"/>
    <xf numFmtId="166" fontId="0" fillId="0" borderId="0" xfId="3" applyNumberFormat="1" applyFont="1"/>
    <xf numFmtId="167" fontId="0" fillId="0" borderId="0" xfId="3" applyNumberFormat="1" applyFont="1"/>
    <xf numFmtId="0" fontId="0" fillId="0" borderId="0" xfId="0" applyAlignment="1"/>
    <xf numFmtId="0" fontId="0" fillId="0" borderId="0" xfId="3" applyNumberFormat="1" applyFont="1"/>
    <xf numFmtId="0" fontId="0" fillId="0" borderId="0" xfId="0" applyNumberFormat="1"/>
    <xf numFmtId="0" fontId="6" fillId="2" borderId="0" xfId="0" applyFont="1" applyFill="1" applyAlignment="1">
      <alignment horizontal="centerContinuous"/>
    </xf>
    <xf numFmtId="0" fontId="0" fillId="2" borderId="0" xfId="0" applyFill="1" applyAlignment="1">
      <alignment horizontal="centerContinuous"/>
    </xf>
    <xf numFmtId="0" fontId="6" fillId="0" borderId="0" xfId="3" applyNumberFormat="1" applyFont="1"/>
    <xf numFmtId="0" fontId="6" fillId="0" borderId="0" xfId="0" applyFont="1" applyBorder="1"/>
    <xf numFmtId="0" fontId="0" fillId="0" borderId="0" xfId="0" applyFill="1" applyAlignment="1"/>
    <xf numFmtId="10" fontId="0" fillId="0" borderId="0" xfId="0" applyNumberFormat="1"/>
    <xf numFmtId="9" fontId="0" fillId="0" borderId="0" xfId="0" applyNumberFormat="1"/>
    <xf numFmtId="0" fontId="0" fillId="0" borderId="0" xfId="0" applyAlignment="1">
      <alignment horizontal="left" vertical="center"/>
    </xf>
    <xf numFmtId="0" fontId="0" fillId="0" borderId="0" xfId="0" applyAlignment="1">
      <alignment horizontal="centerContinuous" wrapText="1"/>
    </xf>
    <xf numFmtId="0" fontId="6" fillId="2" borderId="0" xfId="0" applyFont="1" applyFill="1"/>
    <xf numFmtId="9" fontId="0" fillId="0" borderId="0" xfId="1" applyFont="1"/>
    <xf numFmtId="0" fontId="0" fillId="0" borderId="4" xfId="0" applyBorder="1" applyAlignment="1">
      <alignment vertical="center" wrapText="1"/>
    </xf>
    <xf numFmtId="0" fontId="0" fillId="0" borderId="0"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3" borderId="0" xfId="0" applyFill="1" applyBorder="1" applyAlignment="1">
      <alignment vertical="center" wrapText="1"/>
    </xf>
    <xf numFmtId="0" fontId="0" fillId="4" borderId="0" xfId="0" applyFill="1" applyBorder="1" applyAlignment="1">
      <alignment vertical="center" wrapText="1"/>
    </xf>
    <xf numFmtId="0" fontId="0" fillId="5" borderId="0" xfId="0" applyFill="1" applyBorder="1" applyAlignment="1">
      <alignment vertical="center" wrapText="1"/>
    </xf>
    <xf numFmtId="0" fontId="0" fillId="6" borderId="7" xfId="0" applyFill="1" applyBorder="1" applyAlignment="1">
      <alignment vertical="center" wrapText="1"/>
    </xf>
    <xf numFmtId="0" fontId="0" fillId="0" borderId="0" xfId="0" applyFill="1" applyBorder="1" applyAlignment="1">
      <alignment vertical="center" wrapText="1"/>
    </xf>
    <xf numFmtId="0" fontId="0" fillId="0" borderId="7" xfId="0" applyFill="1" applyBorder="1" applyAlignment="1">
      <alignment vertical="center" wrapText="1"/>
    </xf>
    <xf numFmtId="9" fontId="0" fillId="0" borderId="0" xfId="3" applyNumberFormat="1" applyFont="1"/>
    <xf numFmtId="0" fontId="6" fillId="0" borderId="0" xfId="0" applyFont="1" applyAlignment="1">
      <alignment vertical="center" wrapText="1"/>
    </xf>
    <xf numFmtId="0" fontId="0" fillId="0" borderId="0" xfId="0" applyAlignment="1">
      <alignment vertical="center" wrapText="1"/>
    </xf>
    <xf numFmtId="0" fontId="0" fillId="0" borderId="0" xfId="0" applyAlignment="1">
      <alignment horizontal="centerContinuous" vertical="center" wrapText="1"/>
    </xf>
    <xf numFmtId="0" fontId="0" fillId="2" borderId="0" xfId="0" applyFill="1" applyAlignment="1">
      <alignment horizontal="centerContinuous" vertical="center" wrapText="1"/>
    </xf>
    <xf numFmtId="0" fontId="0" fillId="0" borderId="0" xfId="0" applyAlignment="1">
      <alignment horizontal="centerContinuous" vertical="center"/>
    </xf>
    <xf numFmtId="0" fontId="6" fillId="2" borderId="0" xfId="0" applyFont="1" applyFill="1" applyAlignment="1">
      <alignment horizontal="centerContinuous" vertical="center" wrapText="1"/>
    </xf>
    <xf numFmtId="0" fontId="0" fillId="0" borderId="0" xfId="0" applyAlignment="1">
      <alignment vertical="center"/>
    </xf>
    <xf numFmtId="0" fontId="11" fillId="0" borderId="0" xfId="0" applyFont="1" applyAlignment="1">
      <alignment horizontal="centerContinuous" vertical="center"/>
    </xf>
    <xf numFmtId="0" fontId="10" fillId="0" borderId="0" xfId="0" applyFont="1" applyAlignment="1">
      <alignment horizontal="left" vertical="center" wrapText="1"/>
    </xf>
    <xf numFmtId="0" fontId="10" fillId="0" borderId="0" xfId="0" applyFont="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6" fillId="2" borderId="0" xfId="0" applyFont="1" applyFill="1" applyAlignment="1">
      <alignment horizontal="center"/>
    </xf>
    <xf numFmtId="167" fontId="6" fillId="0" borderId="0" xfId="3" applyNumberFormat="1" applyFont="1" applyAlignment="1">
      <alignment horizontal="center" vertical="center" wrapText="1"/>
    </xf>
    <xf numFmtId="0" fontId="6" fillId="0" borderId="0" xfId="0" applyFont="1" applyAlignment="1">
      <alignment horizontal="center" vertical="center"/>
    </xf>
  </cellXfs>
  <cellStyles count="7">
    <cellStyle name="Currency" xfId="3" builtinId="4"/>
    <cellStyle name="Normal" xfId="0" builtinId="0"/>
    <cellStyle name="Normal 2" xfId="2" xr:uid="{B5331CDC-5C39-4A41-9EDB-F92C951065D7}"/>
    <cellStyle name="Percent" xfId="1" builtinId="5"/>
    <cellStyle name="千位分隔 2" xfId="5" xr:uid="{CFDC4E07-9E5F-2F43-99D3-5F53A75E6129}"/>
    <cellStyle name="常规 2" xfId="4" xr:uid="{3B0F204B-F88D-CB49-A504-D4E2AA26E434}"/>
    <cellStyle name="百分比 2" xfId="6" xr:uid="{261A4BA8-D46D-9E42-9195-8B9E6D22AA9D}"/>
  </cellStyles>
  <dxfs count="0"/>
  <tableStyles count="0" defaultTableStyle="TableStyleMedium2" defaultPivotStyle="PivotStyleMedium9"/>
  <colors>
    <mruColors>
      <color rgb="FFF0BCBB"/>
      <color rgb="FFA00003"/>
      <color rgb="FFE26932"/>
      <color rgb="FFE96C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 1'!$P$4</c:f>
              <c:strCache>
                <c:ptCount val="1"/>
                <c:pt idx="0">
                  <c:v>Nike</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numRef>
              <c:f>'Dashboard 1'!$O$5:$O$7</c:f>
              <c:numCache>
                <c:formatCode>General</c:formatCode>
                <c:ptCount val="3"/>
                <c:pt idx="0">
                  <c:v>2018</c:v>
                </c:pt>
                <c:pt idx="1">
                  <c:v>2019</c:v>
                </c:pt>
                <c:pt idx="2">
                  <c:v>2020</c:v>
                </c:pt>
              </c:numCache>
            </c:numRef>
          </c:cat>
          <c:val>
            <c:numRef>
              <c:f>'Dashboard 1'!$P$5:$P$7</c:f>
              <c:numCache>
                <c:formatCode>_("$"* #,##0_);_("$"* \(#,##0\);_("$"* "-"??_);_(@_)</c:formatCode>
                <c:ptCount val="3"/>
                <c:pt idx="0">
                  <c:v>36397000</c:v>
                </c:pt>
                <c:pt idx="1">
                  <c:v>39117000</c:v>
                </c:pt>
                <c:pt idx="2">
                  <c:v>37403000</c:v>
                </c:pt>
              </c:numCache>
            </c:numRef>
          </c:val>
          <c:smooth val="0"/>
          <c:extLst>
            <c:ext xmlns:c16="http://schemas.microsoft.com/office/drawing/2014/chart" uri="{C3380CC4-5D6E-409C-BE32-E72D297353CC}">
              <c16:uniqueId val="{00000000-CC53-4757-B296-28A543F0D398}"/>
            </c:ext>
          </c:extLst>
        </c:ser>
        <c:ser>
          <c:idx val="1"/>
          <c:order val="1"/>
          <c:tx>
            <c:strRef>
              <c:f>'Dashboard 1'!$Q$4</c:f>
              <c:strCache>
                <c:ptCount val="1"/>
                <c:pt idx="0">
                  <c:v>Adidas</c:v>
                </c:pt>
              </c:strCache>
            </c:strRef>
          </c:tx>
          <c:spPr>
            <a:ln w="28575" cap="rnd">
              <a:solidFill>
                <a:schemeClr val="bg2">
                  <a:lumMod val="90000"/>
                </a:schemeClr>
              </a:solidFill>
              <a:round/>
            </a:ln>
            <a:effectLst/>
          </c:spPr>
          <c:marker>
            <c:symbol val="circle"/>
            <c:size val="5"/>
            <c:spPr>
              <a:solidFill>
                <a:schemeClr val="bg2">
                  <a:lumMod val="90000"/>
                </a:schemeClr>
              </a:solidFill>
              <a:ln w="9525">
                <a:solidFill>
                  <a:schemeClr val="bg2">
                    <a:lumMod val="90000"/>
                  </a:schemeClr>
                </a:solidFill>
              </a:ln>
              <a:effectLst/>
            </c:spPr>
          </c:marker>
          <c:cat>
            <c:numRef>
              <c:f>'Dashboard 1'!$O$5:$O$7</c:f>
              <c:numCache>
                <c:formatCode>General</c:formatCode>
                <c:ptCount val="3"/>
                <c:pt idx="0">
                  <c:v>2018</c:v>
                </c:pt>
                <c:pt idx="1">
                  <c:v>2019</c:v>
                </c:pt>
                <c:pt idx="2">
                  <c:v>2020</c:v>
                </c:pt>
              </c:numCache>
            </c:numRef>
          </c:cat>
          <c:val>
            <c:numRef>
              <c:f>'Dashboard 1'!$Q$5:$Q$7</c:f>
              <c:numCache>
                <c:formatCode>_("$"* #,##0_);_("$"* \(#,##0\);_("$"* "-"??_);_(@_)</c:formatCode>
                <c:ptCount val="3"/>
                <c:pt idx="0">
                  <c:v>25861153.402799997</c:v>
                </c:pt>
                <c:pt idx="1">
                  <c:v>26463674.008200001</c:v>
                </c:pt>
                <c:pt idx="2">
                  <c:v>22620431.805884</c:v>
                </c:pt>
              </c:numCache>
            </c:numRef>
          </c:val>
          <c:smooth val="0"/>
          <c:extLst>
            <c:ext xmlns:c16="http://schemas.microsoft.com/office/drawing/2014/chart" uri="{C3380CC4-5D6E-409C-BE32-E72D297353CC}">
              <c16:uniqueId val="{00000001-CC53-4757-B296-28A543F0D398}"/>
            </c:ext>
          </c:extLst>
        </c:ser>
        <c:ser>
          <c:idx val="2"/>
          <c:order val="2"/>
          <c:tx>
            <c:v>Puma</c:v>
          </c:tx>
          <c:spPr>
            <a:ln w="28575" cap="rnd">
              <a:solidFill>
                <a:schemeClr val="accent4">
                  <a:lumMod val="40000"/>
                  <a:lumOff val="60000"/>
                </a:schemeClr>
              </a:solidFill>
              <a:round/>
            </a:ln>
            <a:effectLst/>
          </c:spPr>
          <c:marker>
            <c:symbol val="circle"/>
            <c:size val="5"/>
            <c:spPr>
              <a:solidFill>
                <a:schemeClr val="accent4">
                  <a:lumMod val="40000"/>
                  <a:lumOff val="60000"/>
                </a:schemeClr>
              </a:solidFill>
              <a:ln w="9525">
                <a:solidFill>
                  <a:schemeClr val="accent4">
                    <a:lumMod val="40000"/>
                    <a:lumOff val="60000"/>
                  </a:schemeClr>
                </a:solidFill>
              </a:ln>
              <a:effectLst/>
            </c:spPr>
          </c:marker>
          <c:val>
            <c:numRef>
              <c:f>'Dashboard 1'!$R$5:$R$7</c:f>
              <c:numCache>
                <c:formatCode>_("$"* #,##0_);_("$"* \(#,##0\);_("$"* "-"??_);_(@_)</c:formatCode>
                <c:ptCount val="3"/>
                <c:pt idx="0">
                  <c:v>5485302.2752559995</c:v>
                </c:pt>
                <c:pt idx="1">
                  <c:v>6159408.9309609998</c:v>
                </c:pt>
                <c:pt idx="2">
                  <c:v>5966760.1413383996</c:v>
                </c:pt>
              </c:numCache>
            </c:numRef>
          </c:val>
          <c:smooth val="0"/>
          <c:extLst>
            <c:ext xmlns:c16="http://schemas.microsoft.com/office/drawing/2014/chart" uri="{C3380CC4-5D6E-409C-BE32-E72D297353CC}">
              <c16:uniqueId val="{00000003-CC53-4757-B296-28A543F0D398}"/>
            </c:ext>
          </c:extLst>
        </c:ser>
        <c:ser>
          <c:idx val="3"/>
          <c:order val="3"/>
          <c:tx>
            <c:strRef>
              <c:f>'Dashboard 1'!$S$4</c:f>
              <c:strCache>
                <c:ptCount val="1"/>
                <c:pt idx="0">
                  <c:v>Asics</c:v>
                </c:pt>
              </c:strCache>
            </c:strRef>
          </c:tx>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val>
            <c:numRef>
              <c:f>'Dashboard 1'!$S$5:$S$7</c:f>
              <c:numCache>
                <c:formatCode>_("$"* #,##0_);_("$"* \(#,##0\);_("$"* "-"??_);_(@_)</c:formatCode>
                <c:ptCount val="3"/>
                <c:pt idx="0">
                  <c:v>3501475.2297340003</c:v>
                </c:pt>
                <c:pt idx="1">
                  <c:v>3467257.4556360003</c:v>
                </c:pt>
                <c:pt idx="2">
                  <c:v>3080052.496512</c:v>
                </c:pt>
              </c:numCache>
            </c:numRef>
          </c:val>
          <c:smooth val="0"/>
          <c:extLst>
            <c:ext xmlns:c16="http://schemas.microsoft.com/office/drawing/2014/chart" uri="{C3380CC4-5D6E-409C-BE32-E72D297353CC}">
              <c16:uniqueId val="{00000004-CC53-4757-B296-28A543F0D398}"/>
            </c:ext>
          </c:extLst>
        </c:ser>
        <c:dLbls>
          <c:showLegendKey val="0"/>
          <c:showVal val="0"/>
          <c:showCatName val="0"/>
          <c:showSerName val="0"/>
          <c:showPercent val="0"/>
          <c:showBubbleSize val="0"/>
        </c:dLbls>
        <c:marker val="1"/>
        <c:smooth val="0"/>
        <c:axId val="1057416431"/>
        <c:axId val="1057414351"/>
      </c:lineChart>
      <c:catAx>
        <c:axId val="105741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414351"/>
        <c:crosses val="autoZero"/>
        <c:auto val="1"/>
        <c:lblAlgn val="ctr"/>
        <c:lblOffset val="100"/>
        <c:noMultiLvlLbl val="0"/>
      </c:catAx>
      <c:valAx>
        <c:axId val="105741435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416431"/>
        <c:crosses val="autoZero"/>
        <c:crossBetween val="between"/>
        <c:majorUnit val="100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 1'!$O$11</c:f>
              <c:strCache>
                <c:ptCount val="1"/>
                <c:pt idx="0">
                  <c:v>Nike</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numRef>
              <c:f>'Dashboard 1'!$P$10:$R$10</c:f>
              <c:numCache>
                <c:formatCode>General</c:formatCode>
                <c:ptCount val="3"/>
                <c:pt idx="0">
                  <c:v>2018</c:v>
                </c:pt>
                <c:pt idx="1">
                  <c:v>2019</c:v>
                </c:pt>
                <c:pt idx="2">
                  <c:v>2020</c:v>
                </c:pt>
              </c:numCache>
            </c:numRef>
          </c:cat>
          <c:val>
            <c:numRef>
              <c:f>'Dashboard 1'!$P$11:$R$11</c:f>
              <c:numCache>
                <c:formatCode>General</c:formatCode>
                <c:ptCount val="3"/>
                <c:pt idx="0">
                  <c:v>73100</c:v>
                </c:pt>
                <c:pt idx="1">
                  <c:v>76700</c:v>
                </c:pt>
                <c:pt idx="2">
                  <c:v>75400</c:v>
                </c:pt>
              </c:numCache>
            </c:numRef>
          </c:val>
          <c:smooth val="0"/>
          <c:extLst>
            <c:ext xmlns:c16="http://schemas.microsoft.com/office/drawing/2014/chart" uri="{C3380CC4-5D6E-409C-BE32-E72D297353CC}">
              <c16:uniqueId val="{00000000-C7CA-475F-91A7-845ECDDA1534}"/>
            </c:ext>
          </c:extLst>
        </c:ser>
        <c:ser>
          <c:idx val="1"/>
          <c:order val="1"/>
          <c:tx>
            <c:strRef>
              <c:f>'Dashboard 1'!$O$12</c:f>
              <c:strCache>
                <c:ptCount val="1"/>
                <c:pt idx="0">
                  <c:v>Adidas</c:v>
                </c:pt>
              </c:strCache>
            </c:strRef>
          </c:tx>
          <c:spPr>
            <a:ln w="28575" cap="rnd">
              <a:solidFill>
                <a:schemeClr val="bg2">
                  <a:lumMod val="90000"/>
                </a:schemeClr>
              </a:solidFill>
              <a:round/>
            </a:ln>
            <a:effectLst/>
          </c:spPr>
          <c:marker>
            <c:symbol val="circle"/>
            <c:size val="5"/>
            <c:spPr>
              <a:solidFill>
                <a:schemeClr val="bg2">
                  <a:lumMod val="90000"/>
                </a:schemeClr>
              </a:solidFill>
              <a:ln w="9525">
                <a:solidFill>
                  <a:schemeClr val="bg2">
                    <a:lumMod val="90000"/>
                  </a:schemeClr>
                </a:solidFill>
              </a:ln>
              <a:effectLst/>
            </c:spPr>
          </c:marker>
          <c:cat>
            <c:numRef>
              <c:f>'Dashboard 1'!$P$10:$R$10</c:f>
              <c:numCache>
                <c:formatCode>General</c:formatCode>
                <c:ptCount val="3"/>
                <c:pt idx="0">
                  <c:v>2018</c:v>
                </c:pt>
                <c:pt idx="1">
                  <c:v>2019</c:v>
                </c:pt>
                <c:pt idx="2">
                  <c:v>2020</c:v>
                </c:pt>
              </c:numCache>
            </c:numRef>
          </c:cat>
          <c:val>
            <c:numRef>
              <c:f>'Dashboard 1'!$P$12:$R$12</c:f>
              <c:numCache>
                <c:formatCode>General</c:formatCode>
                <c:ptCount val="3"/>
                <c:pt idx="0">
                  <c:v>57016</c:v>
                </c:pt>
                <c:pt idx="1">
                  <c:v>65194</c:v>
                </c:pt>
                <c:pt idx="2">
                  <c:v>62285</c:v>
                </c:pt>
              </c:numCache>
            </c:numRef>
          </c:val>
          <c:smooth val="0"/>
          <c:extLst>
            <c:ext xmlns:c16="http://schemas.microsoft.com/office/drawing/2014/chart" uri="{C3380CC4-5D6E-409C-BE32-E72D297353CC}">
              <c16:uniqueId val="{00000001-C7CA-475F-91A7-845ECDDA1534}"/>
            </c:ext>
          </c:extLst>
        </c:ser>
        <c:ser>
          <c:idx val="2"/>
          <c:order val="2"/>
          <c:tx>
            <c:strRef>
              <c:f>'Dashboard 1'!$O$13</c:f>
              <c:strCache>
                <c:ptCount val="1"/>
                <c:pt idx="0">
                  <c:v>Puma</c:v>
                </c:pt>
              </c:strCache>
            </c:strRef>
          </c:tx>
          <c:spPr>
            <a:ln w="28575" cap="rnd">
              <a:solidFill>
                <a:schemeClr val="accent4">
                  <a:lumMod val="40000"/>
                  <a:lumOff val="60000"/>
                </a:schemeClr>
              </a:solidFill>
              <a:round/>
            </a:ln>
            <a:effectLst/>
          </c:spPr>
          <c:marker>
            <c:symbol val="circle"/>
            <c:size val="5"/>
            <c:spPr>
              <a:solidFill>
                <a:schemeClr val="accent4">
                  <a:lumMod val="40000"/>
                  <a:lumOff val="60000"/>
                </a:schemeClr>
              </a:solidFill>
              <a:ln w="9525">
                <a:solidFill>
                  <a:schemeClr val="accent4">
                    <a:lumMod val="40000"/>
                    <a:lumOff val="60000"/>
                  </a:schemeClr>
                </a:solidFill>
              </a:ln>
              <a:effectLst/>
            </c:spPr>
          </c:marker>
          <c:cat>
            <c:numRef>
              <c:f>'Dashboard 1'!$P$10:$R$10</c:f>
              <c:numCache>
                <c:formatCode>General</c:formatCode>
                <c:ptCount val="3"/>
                <c:pt idx="0">
                  <c:v>2018</c:v>
                </c:pt>
                <c:pt idx="1">
                  <c:v>2019</c:v>
                </c:pt>
                <c:pt idx="2">
                  <c:v>2020</c:v>
                </c:pt>
              </c:numCache>
            </c:numRef>
          </c:cat>
          <c:val>
            <c:numRef>
              <c:f>'Dashboard 1'!$P$13:$R$13</c:f>
              <c:numCache>
                <c:formatCode>General</c:formatCode>
                <c:ptCount val="3"/>
                <c:pt idx="0">
                  <c:v>12894</c:v>
                </c:pt>
                <c:pt idx="1">
                  <c:v>14332</c:v>
                </c:pt>
                <c:pt idx="2">
                  <c:v>14374</c:v>
                </c:pt>
              </c:numCache>
            </c:numRef>
          </c:val>
          <c:smooth val="0"/>
          <c:extLst>
            <c:ext xmlns:c16="http://schemas.microsoft.com/office/drawing/2014/chart" uri="{C3380CC4-5D6E-409C-BE32-E72D297353CC}">
              <c16:uniqueId val="{00000002-C7CA-475F-91A7-845ECDDA1534}"/>
            </c:ext>
          </c:extLst>
        </c:ser>
        <c:ser>
          <c:idx val="3"/>
          <c:order val="3"/>
          <c:tx>
            <c:strRef>
              <c:f>'Dashboard 1'!$O$14</c:f>
              <c:strCache>
                <c:ptCount val="1"/>
                <c:pt idx="0">
                  <c:v>Asics</c:v>
                </c:pt>
              </c:strCache>
            </c:strRef>
          </c:tx>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cat>
            <c:numRef>
              <c:f>'Dashboard 1'!$P$10:$R$10</c:f>
              <c:numCache>
                <c:formatCode>General</c:formatCode>
                <c:ptCount val="3"/>
                <c:pt idx="0">
                  <c:v>2018</c:v>
                </c:pt>
                <c:pt idx="1">
                  <c:v>2019</c:v>
                </c:pt>
                <c:pt idx="2">
                  <c:v>2020</c:v>
                </c:pt>
              </c:numCache>
            </c:numRef>
          </c:cat>
          <c:val>
            <c:numRef>
              <c:f>'Dashboard 1'!$P$14:$R$14</c:f>
              <c:numCache>
                <c:formatCode>General</c:formatCode>
                <c:ptCount val="3"/>
                <c:pt idx="0">
                  <c:v>8823</c:v>
                </c:pt>
                <c:pt idx="1">
                  <c:v>9039</c:v>
                </c:pt>
                <c:pt idx="2">
                  <c:v>8904</c:v>
                </c:pt>
              </c:numCache>
            </c:numRef>
          </c:val>
          <c:smooth val="0"/>
          <c:extLst>
            <c:ext xmlns:c16="http://schemas.microsoft.com/office/drawing/2014/chart" uri="{C3380CC4-5D6E-409C-BE32-E72D297353CC}">
              <c16:uniqueId val="{00000003-C7CA-475F-91A7-845ECDDA1534}"/>
            </c:ext>
          </c:extLst>
        </c:ser>
        <c:dLbls>
          <c:showLegendKey val="0"/>
          <c:showVal val="0"/>
          <c:showCatName val="0"/>
          <c:showSerName val="0"/>
          <c:showPercent val="0"/>
          <c:showBubbleSize val="0"/>
        </c:dLbls>
        <c:marker val="1"/>
        <c:smooth val="0"/>
        <c:axId val="1141517951"/>
        <c:axId val="1141518367"/>
      </c:lineChart>
      <c:catAx>
        <c:axId val="114151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18367"/>
        <c:crosses val="autoZero"/>
        <c:auto val="1"/>
        <c:lblAlgn val="ctr"/>
        <c:lblOffset val="100"/>
        <c:noMultiLvlLbl val="0"/>
      </c:catAx>
      <c:valAx>
        <c:axId val="114151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17951"/>
        <c:crosses val="autoZero"/>
        <c:crossBetween val="between"/>
        <c:majorUnit val="1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 1'!$O$18</c:f>
              <c:strCache>
                <c:ptCount val="1"/>
                <c:pt idx="0">
                  <c:v>Nike</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numRef>
              <c:f>'Dashboard 1'!$P$17:$R$17</c:f>
              <c:numCache>
                <c:formatCode>General</c:formatCode>
                <c:ptCount val="3"/>
                <c:pt idx="0">
                  <c:v>2018</c:v>
                </c:pt>
                <c:pt idx="1">
                  <c:v>2019</c:v>
                </c:pt>
                <c:pt idx="2">
                  <c:v>2020</c:v>
                </c:pt>
              </c:numCache>
            </c:numRef>
          </c:cat>
          <c:val>
            <c:numRef>
              <c:f>'Dashboard 1'!$P$18:$R$18</c:f>
              <c:numCache>
                <c:formatCode>_("$"* #,##0_);_("$"* \(#,##0\);_("$"* "-"??_);_(@_)</c:formatCode>
                <c:ptCount val="3"/>
                <c:pt idx="0">
                  <c:v>4445000</c:v>
                </c:pt>
                <c:pt idx="1">
                  <c:v>4772000</c:v>
                </c:pt>
                <c:pt idx="2">
                  <c:v>3115000</c:v>
                </c:pt>
              </c:numCache>
            </c:numRef>
          </c:val>
          <c:smooth val="0"/>
          <c:extLst>
            <c:ext xmlns:c16="http://schemas.microsoft.com/office/drawing/2014/chart" uri="{C3380CC4-5D6E-409C-BE32-E72D297353CC}">
              <c16:uniqueId val="{00000000-17C6-481C-A023-3D33BEA196F7}"/>
            </c:ext>
          </c:extLst>
        </c:ser>
        <c:ser>
          <c:idx val="1"/>
          <c:order val="1"/>
          <c:tx>
            <c:strRef>
              <c:f>'Dashboard 1'!$O$19</c:f>
              <c:strCache>
                <c:ptCount val="1"/>
                <c:pt idx="0">
                  <c:v>Adidas</c:v>
                </c:pt>
              </c:strCache>
            </c:strRef>
          </c:tx>
          <c:spPr>
            <a:ln w="28575" cap="rnd">
              <a:solidFill>
                <a:schemeClr val="accent3">
                  <a:lumMod val="40000"/>
                  <a:lumOff val="60000"/>
                </a:schemeClr>
              </a:solidFill>
              <a:round/>
            </a:ln>
            <a:effectLst/>
          </c:spPr>
          <c:marker>
            <c:symbol val="circle"/>
            <c:size val="5"/>
            <c:spPr>
              <a:solidFill>
                <a:schemeClr val="accent3">
                  <a:lumMod val="40000"/>
                  <a:lumOff val="60000"/>
                </a:schemeClr>
              </a:solidFill>
              <a:ln w="9525">
                <a:solidFill>
                  <a:schemeClr val="accent3">
                    <a:lumMod val="40000"/>
                    <a:lumOff val="60000"/>
                  </a:schemeClr>
                </a:solidFill>
              </a:ln>
              <a:effectLst/>
            </c:spPr>
          </c:marker>
          <c:cat>
            <c:numRef>
              <c:f>'Dashboard 1'!$P$17:$R$17</c:f>
              <c:numCache>
                <c:formatCode>General</c:formatCode>
                <c:ptCount val="3"/>
                <c:pt idx="0">
                  <c:v>2018</c:v>
                </c:pt>
                <c:pt idx="1">
                  <c:v>2019</c:v>
                </c:pt>
                <c:pt idx="2">
                  <c:v>2020</c:v>
                </c:pt>
              </c:numCache>
            </c:numRef>
          </c:cat>
          <c:val>
            <c:numRef>
              <c:f>'Dashboard 1'!$P$19:$R$19</c:f>
              <c:numCache>
                <c:formatCode>_("$"* #,##0_);_("$"* \(#,##0\);_("$"* "-"??_);_(@_)</c:formatCode>
                <c:ptCount val="3"/>
                <c:pt idx="0">
                  <c:v>2829799.0353599996</c:v>
                </c:pt>
                <c:pt idx="1">
                  <c:v>2992275.8301149998</c:v>
                </c:pt>
                <c:pt idx="2">
                  <c:v>981465.01637099998</c:v>
                </c:pt>
              </c:numCache>
            </c:numRef>
          </c:val>
          <c:smooth val="0"/>
          <c:extLst>
            <c:ext xmlns:c16="http://schemas.microsoft.com/office/drawing/2014/chart" uri="{C3380CC4-5D6E-409C-BE32-E72D297353CC}">
              <c16:uniqueId val="{00000001-17C6-481C-A023-3D33BEA196F7}"/>
            </c:ext>
          </c:extLst>
        </c:ser>
        <c:ser>
          <c:idx val="2"/>
          <c:order val="2"/>
          <c:tx>
            <c:strRef>
              <c:f>'Dashboard 1'!$O$20</c:f>
              <c:strCache>
                <c:ptCount val="1"/>
                <c:pt idx="0">
                  <c:v>Puma</c:v>
                </c:pt>
              </c:strCache>
            </c:strRef>
          </c:tx>
          <c:spPr>
            <a:ln w="28575" cap="rnd">
              <a:solidFill>
                <a:schemeClr val="accent4">
                  <a:lumMod val="40000"/>
                  <a:lumOff val="60000"/>
                </a:schemeClr>
              </a:solidFill>
              <a:round/>
            </a:ln>
            <a:effectLst/>
          </c:spPr>
          <c:marker>
            <c:symbol val="circle"/>
            <c:size val="5"/>
            <c:spPr>
              <a:solidFill>
                <a:schemeClr val="accent4">
                  <a:lumMod val="40000"/>
                  <a:lumOff val="60000"/>
                </a:schemeClr>
              </a:solidFill>
              <a:ln w="9525">
                <a:solidFill>
                  <a:schemeClr val="accent4">
                    <a:lumMod val="40000"/>
                    <a:lumOff val="60000"/>
                  </a:schemeClr>
                </a:solidFill>
              </a:ln>
              <a:effectLst/>
            </c:spPr>
          </c:marker>
          <c:cat>
            <c:numRef>
              <c:f>'Dashboard 1'!$P$17:$R$17</c:f>
              <c:numCache>
                <c:formatCode>General</c:formatCode>
                <c:ptCount val="3"/>
                <c:pt idx="0">
                  <c:v>2018</c:v>
                </c:pt>
                <c:pt idx="1">
                  <c:v>2019</c:v>
                </c:pt>
                <c:pt idx="2">
                  <c:v>2020</c:v>
                </c:pt>
              </c:numCache>
            </c:numRef>
          </c:cat>
          <c:val>
            <c:numRef>
              <c:f>'Dashboard 1'!$P$20:$R$20</c:f>
              <c:numCache>
                <c:formatCode>_("$"* #,##0_);_("$"* \(#,##0\);_("$"* "-"??_);_(@_)</c:formatCode>
                <c:ptCount val="3"/>
                <c:pt idx="0">
                  <c:v>397682.34983999998</c:v>
                </c:pt>
                <c:pt idx="1">
                  <c:v>488189.8576555</c:v>
                </c:pt>
                <c:pt idx="2">
                  <c:v>238013.81581679996</c:v>
                </c:pt>
              </c:numCache>
            </c:numRef>
          </c:val>
          <c:smooth val="0"/>
          <c:extLst>
            <c:ext xmlns:c16="http://schemas.microsoft.com/office/drawing/2014/chart" uri="{C3380CC4-5D6E-409C-BE32-E72D297353CC}">
              <c16:uniqueId val="{00000002-17C6-481C-A023-3D33BEA196F7}"/>
            </c:ext>
          </c:extLst>
        </c:ser>
        <c:ser>
          <c:idx val="3"/>
          <c:order val="3"/>
          <c:tx>
            <c:strRef>
              <c:f>'Dashboard 1'!$O$21</c:f>
              <c:strCache>
                <c:ptCount val="1"/>
                <c:pt idx="0">
                  <c:v>Asics</c:v>
                </c:pt>
              </c:strCache>
            </c:strRef>
          </c:tx>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cat>
            <c:numRef>
              <c:f>'Dashboard 1'!$P$17:$R$17</c:f>
              <c:numCache>
                <c:formatCode>General</c:formatCode>
                <c:ptCount val="3"/>
                <c:pt idx="0">
                  <c:v>2018</c:v>
                </c:pt>
                <c:pt idx="1">
                  <c:v>2019</c:v>
                </c:pt>
                <c:pt idx="2">
                  <c:v>2020</c:v>
                </c:pt>
              </c:numCache>
            </c:numRef>
          </c:cat>
          <c:val>
            <c:numRef>
              <c:f>'Dashboard 1'!$P$21:$R$21</c:f>
              <c:numCache>
                <c:formatCode>_("$"* #,##0_);_("$"* \(#,##0\);_("$"* "-"??_);_(@_)</c:formatCode>
                <c:ptCount val="3"/>
                <c:pt idx="0">
                  <c:v>95216.396395999996</c:v>
                </c:pt>
                <c:pt idx="1">
                  <c:v>97537.196068000005</c:v>
                </c:pt>
                <c:pt idx="2">
                  <c:v>-37019.141365999996</c:v>
                </c:pt>
              </c:numCache>
            </c:numRef>
          </c:val>
          <c:smooth val="0"/>
          <c:extLst>
            <c:ext xmlns:c16="http://schemas.microsoft.com/office/drawing/2014/chart" uri="{C3380CC4-5D6E-409C-BE32-E72D297353CC}">
              <c16:uniqueId val="{00000003-17C6-481C-A023-3D33BEA196F7}"/>
            </c:ext>
          </c:extLst>
        </c:ser>
        <c:dLbls>
          <c:showLegendKey val="0"/>
          <c:showVal val="0"/>
          <c:showCatName val="0"/>
          <c:showSerName val="0"/>
          <c:showPercent val="0"/>
          <c:showBubbleSize val="0"/>
        </c:dLbls>
        <c:marker val="1"/>
        <c:smooth val="0"/>
        <c:axId val="1057609791"/>
        <c:axId val="1057608543"/>
      </c:lineChart>
      <c:catAx>
        <c:axId val="105760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08543"/>
        <c:crosses val="autoZero"/>
        <c:auto val="1"/>
        <c:lblAlgn val="ctr"/>
        <c:lblOffset val="100"/>
        <c:noMultiLvlLbl val="0"/>
      </c:catAx>
      <c:valAx>
        <c:axId val="105760854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09791"/>
        <c:crosses val="autoZero"/>
        <c:crossBetween val="between"/>
        <c:majorUnit val="1000000"/>
        <c:minorUnit val="15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'Dashboard 1'!$O$26</c:f>
              <c:strCache>
                <c:ptCount val="1"/>
                <c:pt idx="0">
                  <c:v>Male</c:v>
                </c:pt>
              </c:strCache>
            </c:strRef>
          </c:tx>
          <c:spPr>
            <a:solidFill>
              <a:schemeClr val="accent5">
                <a:lumMod val="60000"/>
                <a:lumOff val="40000"/>
              </a:schemeClr>
            </a:solidFill>
            <a:ln>
              <a:noFill/>
            </a:ln>
            <a:effectLst/>
          </c:spPr>
          <c:invertIfNegative val="0"/>
          <c:cat>
            <c:strRef>
              <c:f>'Dashboard 1'!$P$24:$Q$24</c:f>
              <c:strCache>
                <c:ptCount val="2"/>
                <c:pt idx="0">
                  <c:v>Nike</c:v>
                </c:pt>
                <c:pt idx="1">
                  <c:v>Adidas</c:v>
                </c:pt>
              </c:strCache>
            </c:strRef>
          </c:cat>
          <c:val>
            <c:numRef>
              <c:f>'Dashboard 1'!$P$26:$Q$26</c:f>
              <c:numCache>
                <c:formatCode>0%</c:formatCode>
                <c:ptCount val="2"/>
                <c:pt idx="0" formatCode="0.00%">
                  <c:v>0.505</c:v>
                </c:pt>
                <c:pt idx="1">
                  <c:v>0.45</c:v>
                </c:pt>
              </c:numCache>
            </c:numRef>
          </c:val>
          <c:extLst>
            <c:ext xmlns:c16="http://schemas.microsoft.com/office/drawing/2014/chart" uri="{C3380CC4-5D6E-409C-BE32-E72D297353CC}">
              <c16:uniqueId val="{00000001-DA2B-4F5B-91D4-C25A626F2DA9}"/>
            </c:ext>
          </c:extLst>
        </c:ser>
        <c:dLbls>
          <c:showLegendKey val="0"/>
          <c:showVal val="0"/>
          <c:showCatName val="0"/>
          <c:showSerName val="0"/>
          <c:showPercent val="0"/>
          <c:showBubbleSize val="0"/>
        </c:dLbls>
        <c:gapWidth val="150"/>
        <c:overlap val="100"/>
        <c:axId val="1329999775"/>
        <c:axId val="1330000191"/>
      </c:barChart>
      <c:barChart>
        <c:barDir val="col"/>
        <c:grouping val="stacked"/>
        <c:varyColors val="0"/>
        <c:ser>
          <c:idx val="0"/>
          <c:order val="0"/>
          <c:tx>
            <c:strRef>
              <c:f>'Dashboard 1'!$O$25</c:f>
              <c:strCache>
                <c:ptCount val="1"/>
                <c:pt idx="0">
                  <c:v>Female</c:v>
                </c:pt>
              </c:strCache>
            </c:strRef>
          </c:tx>
          <c:spPr>
            <a:solidFill>
              <a:srgbClr val="F0BCBB"/>
            </a:solidFill>
            <a:ln>
              <a:noFill/>
            </a:ln>
            <a:effectLst/>
          </c:spPr>
          <c:invertIfNegative val="0"/>
          <c:cat>
            <c:strRef>
              <c:f>'Dashboard 1'!$P$24:$Q$24</c:f>
              <c:strCache>
                <c:ptCount val="2"/>
                <c:pt idx="0">
                  <c:v>Nike</c:v>
                </c:pt>
                <c:pt idx="1">
                  <c:v>Adidas</c:v>
                </c:pt>
              </c:strCache>
            </c:strRef>
          </c:cat>
          <c:val>
            <c:numRef>
              <c:f>'Dashboard 1'!$P$25:$Q$25</c:f>
              <c:numCache>
                <c:formatCode>0%</c:formatCode>
                <c:ptCount val="2"/>
                <c:pt idx="0" formatCode="0.00%">
                  <c:v>0.495</c:v>
                </c:pt>
                <c:pt idx="1">
                  <c:v>0.55000000000000004</c:v>
                </c:pt>
              </c:numCache>
            </c:numRef>
          </c:val>
          <c:extLst>
            <c:ext xmlns:c16="http://schemas.microsoft.com/office/drawing/2014/chart" uri="{C3380CC4-5D6E-409C-BE32-E72D297353CC}">
              <c16:uniqueId val="{00000000-DA2B-4F5B-91D4-C25A626F2DA9}"/>
            </c:ext>
          </c:extLst>
        </c:ser>
        <c:dLbls>
          <c:showLegendKey val="0"/>
          <c:showVal val="0"/>
          <c:showCatName val="0"/>
          <c:showSerName val="0"/>
          <c:showPercent val="0"/>
          <c:showBubbleSize val="0"/>
        </c:dLbls>
        <c:gapWidth val="500"/>
        <c:overlap val="100"/>
        <c:axId val="1329979807"/>
        <c:axId val="1330001023"/>
      </c:barChart>
      <c:catAx>
        <c:axId val="13299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00191"/>
        <c:crosses val="autoZero"/>
        <c:auto val="1"/>
        <c:lblAlgn val="ctr"/>
        <c:lblOffset val="100"/>
        <c:noMultiLvlLbl val="0"/>
      </c:catAx>
      <c:valAx>
        <c:axId val="13300001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999775"/>
        <c:crosses val="autoZero"/>
        <c:crossBetween val="between"/>
      </c:valAx>
      <c:valAx>
        <c:axId val="1330001023"/>
        <c:scaling>
          <c:orientation val="minMax"/>
        </c:scaling>
        <c:delete val="1"/>
        <c:axPos val="r"/>
        <c:numFmt formatCode="0.00%" sourceLinked="1"/>
        <c:majorTickMark val="out"/>
        <c:minorTickMark val="none"/>
        <c:tickLblPos val="nextTo"/>
        <c:crossAx val="1329979807"/>
        <c:crosses val="max"/>
        <c:crossBetween val="between"/>
      </c:valAx>
      <c:catAx>
        <c:axId val="1329979807"/>
        <c:scaling>
          <c:orientation val="minMax"/>
        </c:scaling>
        <c:delete val="1"/>
        <c:axPos val="b"/>
        <c:numFmt formatCode="General" sourceLinked="1"/>
        <c:majorTickMark val="out"/>
        <c:minorTickMark val="none"/>
        <c:tickLblPos val="nextTo"/>
        <c:crossAx val="13300010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'Dashboard 1'!$P$37</c:f>
              <c:strCache>
                <c:ptCount val="1"/>
                <c:pt idx="0">
                  <c:v>Amount in Kg of CO2 per unit</c:v>
                </c:pt>
              </c:strCache>
            </c:strRef>
          </c:tx>
          <c:spPr>
            <a:solidFill>
              <a:srgbClr val="C00000"/>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4-1489-47D5-8979-2E2497179876}"/>
              </c:ext>
            </c:extLst>
          </c:dPt>
          <c:dPt>
            <c:idx val="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2-1489-47D5-8979-2E2497179876}"/>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489-47D5-8979-2E2497179876}"/>
              </c:ext>
            </c:extLst>
          </c:dPt>
          <c:cat>
            <c:strRef>
              <c:f>'Dashboard 1'!$O$38:$O$40</c:f>
              <c:strCache>
                <c:ptCount val="3"/>
                <c:pt idx="0">
                  <c:v>Nike</c:v>
                </c:pt>
                <c:pt idx="1">
                  <c:v>Adidas</c:v>
                </c:pt>
                <c:pt idx="2">
                  <c:v>Puma</c:v>
                </c:pt>
              </c:strCache>
            </c:strRef>
          </c:cat>
          <c:val>
            <c:numRef>
              <c:f>'Dashboard 1'!$P$38:$P$40</c:f>
              <c:numCache>
                <c:formatCode>General</c:formatCode>
                <c:ptCount val="3"/>
                <c:pt idx="0">
                  <c:v>7.33</c:v>
                </c:pt>
                <c:pt idx="1">
                  <c:v>13.6</c:v>
                </c:pt>
                <c:pt idx="2">
                  <c:v>7.82</c:v>
                </c:pt>
              </c:numCache>
            </c:numRef>
          </c:val>
          <c:extLst>
            <c:ext xmlns:c16="http://schemas.microsoft.com/office/drawing/2014/chart" uri="{C3380CC4-5D6E-409C-BE32-E72D297353CC}">
              <c16:uniqueId val="{00000000-1489-47D5-8979-2E2497179876}"/>
            </c:ext>
          </c:extLst>
        </c:ser>
        <c:dLbls>
          <c:showLegendKey val="0"/>
          <c:showVal val="0"/>
          <c:showCatName val="0"/>
          <c:showSerName val="0"/>
          <c:showPercent val="0"/>
          <c:showBubbleSize val="0"/>
        </c:dLbls>
        <c:gapWidth val="182"/>
        <c:axId val="1329248463"/>
        <c:axId val="1329254703"/>
      </c:barChart>
      <c:catAx>
        <c:axId val="13292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54703"/>
        <c:crosses val="autoZero"/>
        <c:auto val="1"/>
        <c:lblAlgn val="ctr"/>
        <c:lblOffset val="100"/>
        <c:noMultiLvlLbl val="0"/>
      </c:catAx>
      <c:valAx>
        <c:axId val="1329254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48463"/>
        <c:crosses val="autoZero"/>
        <c:crossBetween val="between"/>
        <c:majorUnit val="2"/>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numRef>
              <c:f>'Dashboard 1'!$P$51:$T$51</c:f>
              <c:numCache>
                <c:formatCode>General</c:formatCode>
                <c:ptCount val="5"/>
                <c:pt idx="0">
                  <c:v>2016</c:v>
                </c:pt>
                <c:pt idx="1">
                  <c:v>2017</c:v>
                </c:pt>
                <c:pt idx="2">
                  <c:v>2018</c:v>
                </c:pt>
                <c:pt idx="3">
                  <c:v>2019</c:v>
                </c:pt>
                <c:pt idx="4">
                  <c:v>2020</c:v>
                </c:pt>
              </c:numCache>
            </c:numRef>
          </c:cat>
          <c:val>
            <c:numRef>
              <c:f>'Dashboard 1'!$P$52:$T$52</c:f>
              <c:numCache>
                <c:formatCode>General</c:formatCode>
                <c:ptCount val="5"/>
                <c:pt idx="0">
                  <c:v>126.5</c:v>
                </c:pt>
                <c:pt idx="1">
                  <c:v>117.2</c:v>
                </c:pt>
                <c:pt idx="2">
                  <c:v>109.3</c:v>
                </c:pt>
                <c:pt idx="3">
                  <c:v>94.3</c:v>
                </c:pt>
                <c:pt idx="4">
                  <c:v>88.2</c:v>
                </c:pt>
              </c:numCache>
            </c:numRef>
          </c:val>
          <c:smooth val="0"/>
          <c:extLst>
            <c:ext xmlns:c16="http://schemas.microsoft.com/office/drawing/2014/chart" uri="{C3380CC4-5D6E-409C-BE32-E72D297353CC}">
              <c16:uniqueId val="{00000000-3D90-4A71-BEF9-C1C32EFD80F9}"/>
            </c:ext>
          </c:extLst>
        </c:ser>
        <c:dLbls>
          <c:showLegendKey val="0"/>
          <c:showVal val="0"/>
          <c:showCatName val="0"/>
          <c:showSerName val="0"/>
          <c:showPercent val="0"/>
          <c:showBubbleSize val="0"/>
        </c:dLbls>
        <c:marker val="1"/>
        <c:smooth val="0"/>
        <c:axId val="1310134815"/>
        <c:axId val="1310151039"/>
      </c:lineChart>
      <c:catAx>
        <c:axId val="131013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51039"/>
        <c:crosses val="autoZero"/>
        <c:auto val="1"/>
        <c:lblAlgn val="ctr"/>
        <c:lblOffset val="100"/>
        <c:noMultiLvlLbl val="0"/>
      </c:catAx>
      <c:valAx>
        <c:axId val="1310151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348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xVal>
            <c:numRef>
              <c:f>'Dashboard 2'!$O$5:$O$9</c:f>
              <c:numCache>
                <c:formatCode>General</c:formatCode>
                <c:ptCount val="5"/>
                <c:pt idx="0">
                  <c:v>2016</c:v>
                </c:pt>
                <c:pt idx="1">
                  <c:v>2017</c:v>
                </c:pt>
                <c:pt idx="2">
                  <c:v>2018</c:v>
                </c:pt>
                <c:pt idx="3">
                  <c:v>2019</c:v>
                </c:pt>
                <c:pt idx="4">
                  <c:v>2020</c:v>
                </c:pt>
              </c:numCache>
            </c:numRef>
          </c:xVal>
          <c:yVal>
            <c:numRef>
              <c:f>'Dashboard 2'!$P$5:$P$9</c:f>
              <c:numCache>
                <c:formatCode>_("$"* #,##0_);_("$"* \(#,##0\);_("$"* "-"??_);_(@_)</c:formatCode>
                <c:ptCount val="5"/>
                <c:pt idx="0">
                  <c:v>3760000</c:v>
                </c:pt>
                <c:pt idx="1">
                  <c:v>4036296</c:v>
                </c:pt>
                <c:pt idx="2">
                  <c:v>3933000</c:v>
                </c:pt>
                <c:pt idx="3">
                  <c:v>4029000</c:v>
                </c:pt>
                <c:pt idx="4">
                  <c:v>2936900</c:v>
                </c:pt>
              </c:numCache>
            </c:numRef>
          </c:yVal>
          <c:smooth val="0"/>
          <c:extLst>
            <c:ext xmlns:c16="http://schemas.microsoft.com/office/drawing/2014/chart" uri="{C3380CC4-5D6E-409C-BE32-E72D297353CC}">
              <c16:uniqueId val="{00000000-8108-4946-A68F-EAA3A79CCEB1}"/>
            </c:ext>
          </c:extLst>
        </c:ser>
        <c:dLbls>
          <c:showLegendKey val="0"/>
          <c:showVal val="0"/>
          <c:showCatName val="0"/>
          <c:showSerName val="0"/>
          <c:showPercent val="0"/>
          <c:showBubbleSize val="0"/>
        </c:dLbls>
        <c:axId val="1221182335"/>
        <c:axId val="1221163615"/>
      </c:scatterChart>
      <c:valAx>
        <c:axId val="1221182335"/>
        <c:scaling>
          <c:orientation val="minMax"/>
          <c:max val="2020"/>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163615"/>
        <c:crosses val="autoZero"/>
        <c:crossBetween val="midCat"/>
        <c:majorUnit val="1"/>
      </c:valAx>
      <c:valAx>
        <c:axId val="1221163615"/>
        <c:scaling>
          <c:orientation val="minMax"/>
        </c:scaling>
        <c:delete val="0"/>
        <c:axPos val="l"/>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182335"/>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lumMod val="75000"/>
              </a:schemeClr>
            </a:solidFill>
            <a:ln>
              <a:noFill/>
            </a:ln>
            <a:effectLst/>
          </c:spPr>
          <c:invertIfNegative val="0"/>
          <c:cat>
            <c:strRef>
              <c:f>'Dashboard 2'!$O$12:$O$15</c:f>
              <c:strCache>
                <c:ptCount val="4"/>
                <c:pt idx="0">
                  <c:v>Footwear</c:v>
                </c:pt>
                <c:pt idx="1">
                  <c:v>Apparel</c:v>
                </c:pt>
                <c:pt idx="2">
                  <c:v>Equipment</c:v>
                </c:pt>
                <c:pt idx="3">
                  <c:v>Other</c:v>
                </c:pt>
              </c:strCache>
            </c:strRef>
          </c:cat>
          <c:val>
            <c:numRef>
              <c:f>'Dashboard 2'!$P$12:$P$15</c:f>
              <c:numCache>
                <c:formatCode>_("$"* #,##0_);_("$"* \(#,##0\);_("$"* "-"??_);_(@_)</c:formatCode>
                <c:ptCount val="4"/>
                <c:pt idx="0">
                  <c:v>24947000</c:v>
                </c:pt>
                <c:pt idx="1">
                  <c:v>11042000</c:v>
                </c:pt>
                <c:pt idx="2">
                  <c:v>1305000</c:v>
                </c:pt>
                <c:pt idx="3">
                  <c:v>109000</c:v>
                </c:pt>
              </c:numCache>
            </c:numRef>
          </c:val>
          <c:extLst>
            <c:ext xmlns:c16="http://schemas.microsoft.com/office/drawing/2014/chart" uri="{C3380CC4-5D6E-409C-BE32-E72D297353CC}">
              <c16:uniqueId val="{00000000-DF0D-4395-909D-FCAF67FC245F}"/>
            </c:ext>
          </c:extLst>
        </c:ser>
        <c:dLbls>
          <c:showLegendKey val="0"/>
          <c:showVal val="0"/>
          <c:showCatName val="0"/>
          <c:showSerName val="0"/>
          <c:showPercent val="0"/>
          <c:showBubbleSize val="0"/>
        </c:dLbls>
        <c:gapWidth val="219"/>
        <c:overlap val="-27"/>
        <c:axId val="1309951647"/>
        <c:axId val="1309956223"/>
      </c:barChart>
      <c:catAx>
        <c:axId val="130995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56223"/>
        <c:crosses val="autoZero"/>
        <c:auto val="1"/>
        <c:lblAlgn val="ctr"/>
        <c:lblOffset val="100"/>
        <c:noMultiLvlLbl val="0"/>
      </c:catAx>
      <c:valAx>
        <c:axId val="1309956223"/>
        <c:scaling>
          <c:orientation val="minMax"/>
          <c:max val="26000000"/>
          <c:min val="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51647"/>
        <c:crosses val="autoZero"/>
        <c:crossBetween val="between"/>
        <c:majorUnit val="5000000"/>
        <c:min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'Dashboard 2'!$O$19</c:f>
              <c:strCache>
                <c:ptCount val="1"/>
                <c:pt idx="0">
                  <c:v>Product Scored on Sustainability Performance</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numRef>
              <c:f>'Dashboard 2'!$P$18:$T$18</c:f>
              <c:numCache>
                <c:formatCode>General</c:formatCode>
                <c:ptCount val="5"/>
                <c:pt idx="0">
                  <c:v>2016</c:v>
                </c:pt>
                <c:pt idx="1">
                  <c:v>2017</c:v>
                </c:pt>
                <c:pt idx="2">
                  <c:v>2018</c:v>
                </c:pt>
                <c:pt idx="3">
                  <c:v>2019</c:v>
                </c:pt>
                <c:pt idx="4">
                  <c:v>2020</c:v>
                </c:pt>
              </c:numCache>
            </c:numRef>
          </c:cat>
          <c:val>
            <c:numRef>
              <c:f>'Dashboard 2'!$P$19:$T$19</c:f>
              <c:numCache>
                <c:formatCode>0%</c:formatCode>
                <c:ptCount val="5"/>
                <c:pt idx="0">
                  <c:v>0.68</c:v>
                </c:pt>
                <c:pt idx="1">
                  <c:v>0.71</c:v>
                </c:pt>
                <c:pt idx="2">
                  <c:v>0.73</c:v>
                </c:pt>
                <c:pt idx="3">
                  <c:v>0.69</c:v>
                </c:pt>
                <c:pt idx="4">
                  <c:v>0.6</c:v>
                </c:pt>
              </c:numCache>
            </c:numRef>
          </c:val>
          <c:smooth val="0"/>
          <c:extLst>
            <c:ext xmlns:c16="http://schemas.microsoft.com/office/drawing/2014/chart" uri="{C3380CC4-5D6E-409C-BE32-E72D297353CC}">
              <c16:uniqueId val="{00000000-8CDC-43A3-BA23-138E0FA38B10}"/>
            </c:ext>
          </c:extLst>
        </c:ser>
        <c:dLbls>
          <c:showLegendKey val="0"/>
          <c:showVal val="0"/>
          <c:showCatName val="0"/>
          <c:showSerName val="0"/>
          <c:showPercent val="0"/>
          <c:showBubbleSize val="0"/>
        </c:dLbls>
        <c:marker val="1"/>
        <c:smooth val="0"/>
        <c:axId val="415034736"/>
        <c:axId val="415056784"/>
      </c:lineChart>
      <c:catAx>
        <c:axId val="41503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56784"/>
        <c:crosses val="autoZero"/>
        <c:auto val="1"/>
        <c:lblAlgn val="ctr"/>
        <c:lblOffset val="100"/>
        <c:noMultiLvlLbl val="0"/>
      </c:catAx>
      <c:valAx>
        <c:axId val="4150567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34736"/>
        <c:crosses val="autoZero"/>
        <c:crossBetween val="between"/>
        <c:majorUnit val="0.2"/>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 2'!$O$21</c:f>
              <c:strCache>
                <c:ptCount val="1"/>
                <c:pt idx="0">
                  <c:v>Average Product Carbon Footprint</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numRef>
              <c:f>'Dashboard 2'!$P$20:$T$20</c:f>
              <c:numCache>
                <c:formatCode>General</c:formatCode>
                <c:ptCount val="5"/>
                <c:pt idx="0">
                  <c:v>2016</c:v>
                </c:pt>
                <c:pt idx="1">
                  <c:v>2017</c:v>
                </c:pt>
                <c:pt idx="2">
                  <c:v>2018</c:v>
                </c:pt>
                <c:pt idx="3">
                  <c:v>2019</c:v>
                </c:pt>
                <c:pt idx="4">
                  <c:v>2020</c:v>
                </c:pt>
              </c:numCache>
            </c:numRef>
          </c:cat>
          <c:val>
            <c:numRef>
              <c:f>'Dashboard 2'!$P$21:$T$21</c:f>
              <c:numCache>
                <c:formatCode>General</c:formatCode>
                <c:ptCount val="5"/>
                <c:pt idx="0">
                  <c:v>7.19</c:v>
                </c:pt>
                <c:pt idx="1">
                  <c:v>7.15</c:v>
                </c:pt>
                <c:pt idx="2">
                  <c:v>7.45</c:v>
                </c:pt>
                <c:pt idx="3">
                  <c:v>7.33</c:v>
                </c:pt>
                <c:pt idx="4">
                  <c:v>7.33</c:v>
                </c:pt>
              </c:numCache>
            </c:numRef>
          </c:val>
          <c:smooth val="0"/>
          <c:extLst>
            <c:ext xmlns:c16="http://schemas.microsoft.com/office/drawing/2014/chart" uri="{C3380CC4-5D6E-409C-BE32-E72D297353CC}">
              <c16:uniqueId val="{00000000-10B7-4374-B007-53AC435D8234}"/>
            </c:ext>
          </c:extLst>
        </c:ser>
        <c:dLbls>
          <c:showLegendKey val="0"/>
          <c:showVal val="0"/>
          <c:showCatName val="0"/>
          <c:showSerName val="0"/>
          <c:showPercent val="0"/>
          <c:showBubbleSize val="0"/>
        </c:dLbls>
        <c:marker val="1"/>
        <c:smooth val="0"/>
        <c:axId val="1711751839"/>
        <c:axId val="1711743103"/>
      </c:lineChart>
      <c:catAx>
        <c:axId val="171175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43103"/>
        <c:crosses val="autoZero"/>
        <c:auto val="1"/>
        <c:lblAlgn val="ctr"/>
        <c:lblOffset val="100"/>
        <c:noMultiLvlLbl val="0"/>
      </c:catAx>
      <c:valAx>
        <c:axId val="1711743103"/>
        <c:scaling>
          <c:orientation val="minMax"/>
          <c:min val="7"/>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51839"/>
        <c:crosses val="autoZero"/>
        <c:crossBetween val="between"/>
        <c:majorUnit val="0.150000000000000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numRef>
              <c:f>'Dashboard 2'!$P$28:$T$28</c:f>
              <c:numCache>
                <c:formatCode>General</c:formatCode>
                <c:ptCount val="5"/>
                <c:pt idx="0">
                  <c:v>2016</c:v>
                </c:pt>
                <c:pt idx="1">
                  <c:v>2017</c:v>
                </c:pt>
                <c:pt idx="2">
                  <c:v>2018</c:v>
                </c:pt>
                <c:pt idx="3">
                  <c:v>2019</c:v>
                </c:pt>
                <c:pt idx="4">
                  <c:v>2020</c:v>
                </c:pt>
              </c:numCache>
            </c:numRef>
          </c:cat>
          <c:val>
            <c:numRef>
              <c:f>'Dashboard 2'!$P$29:$T$29</c:f>
              <c:numCache>
                <c:formatCode>0.00%</c:formatCode>
                <c:ptCount val="5"/>
                <c:pt idx="0">
                  <c:v>6.6000000000000003E-2</c:v>
                </c:pt>
                <c:pt idx="1">
                  <c:v>3.9E-2</c:v>
                </c:pt>
                <c:pt idx="2">
                  <c:v>1.7999999999999999E-2</c:v>
                </c:pt>
                <c:pt idx="3">
                  <c:v>1E-3</c:v>
                </c:pt>
                <c:pt idx="4">
                  <c:v>1E-3</c:v>
                </c:pt>
              </c:numCache>
            </c:numRef>
          </c:val>
          <c:smooth val="0"/>
          <c:extLst>
            <c:ext xmlns:c16="http://schemas.microsoft.com/office/drawing/2014/chart" uri="{C3380CC4-5D6E-409C-BE32-E72D297353CC}">
              <c16:uniqueId val="{00000000-6A14-452B-8F78-6D77520AD671}"/>
            </c:ext>
          </c:extLst>
        </c:ser>
        <c:dLbls>
          <c:showLegendKey val="0"/>
          <c:showVal val="0"/>
          <c:showCatName val="0"/>
          <c:showSerName val="0"/>
          <c:showPercent val="0"/>
          <c:showBubbleSize val="0"/>
        </c:dLbls>
        <c:marker val="1"/>
        <c:smooth val="0"/>
        <c:axId val="1055680943"/>
        <c:axId val="1055681359"/>
      </c:lineChart>
      <c:catAx>
        <c:axId val="105568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81359"/>
        <c:crosses val="autoZero"/>
        <c:auto val="1"/>
        <c:lblAlgn val="ctr"/>
        <c:lblOffset val="100"/>
        <c:noMultiLvlLbl val="0"/>
      </c:catAx>
      <c:valAx>
        <c:axId val="10556813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809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numRef>
              <c:f>'Dashboard 2'!$P$30:$T$30</c:f>
              <c:numCache>
                <c:formatCode>General</c:formatCode>
                <c:ptCount val="5"/>
                <c:pt idx="0">
                  <c:v>2016</c:v>
                </c:pt>
                <c:pt idx="1">
                  <c:v>2017</c:v>
                </c:pt>
                <c:pt idx="2">
                  <c:v>2018</c:v>
                </c:pt>
                <c:pt idx="3">
                  <c:v>2019</c:v>
                </c:pt>
                <c:pt idx="4">
                  <c:v>2020</c:v>
                </c:pt>
              </c:numCache>
            </c:numRef>
          </c:cat>
          <c:val>
            <c:numRef>
              <c:f>'Dashboard 2'!$P$31:$T$31</c:f>
              <c:numCache>
                <c:formatCode>0%</c:formatCode>
                <c:ptCount val="5"/>
                <c:pt idx="0">
                  <c:v>0.88</c:v>
                </c:pt>
                <c:pt idx="1">
                  <c:v>0.87</c:v>
                </c:pt>
                <c:pt idx="2">
                  <c:v>0.88</c:v>
                </c:pt>
                <c:pt idx="3">
                  <c:v>0.89</c:v>
                </c:pt>
                <c:pt idx="4">
                  <c:v>0.88</c:v>
                </c:pt>
              </c:numCache>
            </c:numRef>
          </c:val>
          <c:smooth val="0"/>
          <c:extLst>
            <c:ext xmlns:c16="http://schemas.microsoft.com/office/drawing/2014/chart" uri="{C3380CC4-5D6E-409C-BE32-E72D297353CC}">
              <c16:uniqueId val="{00000000-C41E-4A2B-B68E-B453CA8AB628}"/>
            </c:ext>
          </c:extLst>
        </c:ser>
        <c:dLbls>
          <c:showLegendKey val="0"/>
          <c:showVal val="0"/>
          <c:showCatName val="0"/>
          <c:showSerName val="0"/>
          <c:showPercent val="0"/>
          <c:showBubbleSize val="0"/>
        </c:dLbls>
        <c:marker val="1"/>
        <c:smooth val="0"/>
        <c:axId val="1711754335"/>
        <c:axId val="1711762239"/>
      </c:lineChart>
      <c:catAx>
        <c:axId val="171175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62239"/>
        <c:crosses val="autoZero"/>
        <c:auto val="1"/>
        <c:lblAlgn val="ctr"/>
        <c:lblOffset val="100"/>
        <c:noMultiLvlLbl val="0"/>
      </c:catAx>
      <c:valAx>
        <c:axId val="17117622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543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lumMod val="75000"/>
              </a:schemeClr>
            </a:solidFill>
            <a:ln>
              <a:solidFill>
                <a:schemeClr val="accent2">
                  <a:lumMod val="75000"/>
                </a:schemeClr>
              </a:solidFill>
            </a:ln>
            <a:effectLst/>
          </c:spPr>
          <c:invertIfNegative val="0"/>
          <c:cat>
            <c:strRef>
              <c:f>'Dashboard 2'!$O$24:$O$25</c:f>
              <c:strCache>
                <c:ptCount val="2"/>
                <c:pt idx="0">
                  <c:v>Online</c:v>
                </c:pt>
                <c:pt idx="1">
                  <c:v>In Store</c:v>
                </c:pt>
              </c:strCache>
            </c:strRef>
          </c:cat>
          <c:val>
            <c:numRef>
              <c:f>'Dashboard 2'!$P$24:$P$25</c:f>
              <c:numCache>
                <c:formatCode>0%</c:formatCode>
                <c:ptCount val="2"/>
                <c:pt idx="0">
                  <c:v>0.21</c:v>
                </c:pt>
                <c:pt idx="1">
                  <c:v>0.79</c:v>
                </c:pt>
              </c:numCache>
            </c:numRef>
          </c:val>
          <c:extLst>
            <c:ext xmlns:c16="http://schemas.microsoft.com/office/drawing/2014/chart" uri="{C3380CC4-5D6E-409C-BE32-E72D297353CC}">
              <c16:uniqueId val="{00000000-218B-4326-9C03-666BFE06FA94}"/>
            </c:ext>
          </c:extLst>
        </c:ser>
        <c:dLbls>
          <c:showLegendKey val="0"/>
          <c:showVal val="0"/>
          <c:showCatName val="0"/>
          <c:showSerName val="0"/>
          <c:showPercent val="0"/>
          <c:showBubbleSize val="0"/>
        </c:dLbls>
        <c:gapWidth val="182"/>
        <c:axId val="304152223"/>
        <c:axId val="304152639"/>
      </c:barChart>
      <c:catAx>
        <c:axId val="30415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52639"/>
        <c:crosses val="autoZero"/>
        <c:auto val="1"/>
        <c:lblAlgn val="ctr"/>
        <c:lblOffset val="100"/>
        <c:noMultiLvlLbl val="0"/>
      </c:catAx>
      <c:valAx>
        <c:axId val="30415263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5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5AB68F96-82EF-4A6F-AB8E-73AE18831438}">
          <cx:tx>
            <cx:txData>
              <cx:f>_xlchart.v1.1</cx:f>
              <cx:v>Stock Price</cx:v>
            </cx:txData>
          </cx:tx>
          <cx:dataPt idx="0">
            <cx:spPr>
              <a:solidFill>
                <a:srgbClr val="ED7D31">
                  <a:lumMod val="75000"/>
                </a:srgbClr>
              </a:solidFill>
            </cx:spPr>
          </cx:dataPt>
          <cx:dataPt idx="1">
            <cx:spPr>
              <a:solidFill>
                <a:srgbClr val="A5A5A5">
                  <a:lumMod val="40000"/>
                  <a:lumOff val="60000"/>
                </a:srgbClr>
              </a:solidFill>
            </cx:spPr>
          </cx:dataPt>
          <cx:dataPt idx="2">
            <cx:spPr>
              <a:solidFill>
                <a:srgbClr val="FFC000">
                  <a:lumMod val="40000"/>
                  <a:lumOff val="60000"/>
                </a:srgbClr>
              </a:solidFill>
            </cx:spPr>
          </cx:dataPt>
          <cx:dataPt idx="3">
            <cx:spPr>
              <a:solidFill>
                <a:srgbClr val="4472C4">
                  <a:lumMod val="40000"/>
                  <a:lumOff val="60000"/>
                </a:srgbClr>
              </a:solidFill>
            </cx:spPr>
          </cx:dataPt>
          <cx:dataPt idx="4">
            <cx:spPr>
              <a:solidFill>
                <a:srgbClr val="44546A">
                  <a:lumMod val="40000"/>
                  <a:lumOff val="60000"/>
                </a:srgbClr>
              </a:solidFill>
            </cx:spPr>
          </cx:dataPt>
          <cx:dataLabels pos="outEnd">
            <cx:visibility seriesName="0" categoryName="0" value="1"/>
          </cx:dataLabels>
          <cx:dataId val="0"/>
          <cx:layoutPr>
            <cx:subtotals/>
          </cx:layoutPr>
        </cx:series>
      </cx:plotAreaRegion>
      <cx:axis id="0">
        <cx:catScaling gapWidth="0.5"/>
        <cx:tickLabels/>
      </cx:axis>
      <cx:axis id="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179294</xdr:colOff>
      <xdr:row>111</xdr:row>
      <xdr:rowOff>164354</xdr:rowOff>
    </xdr:from>
    <xdr:to>
      <xdr:col>11</xdr:col>
      <xdr:colOff>186765</xdr:colOff>
      <xdr:row>113</xdr:row>
      <xdr:rowOff>44824</xdr:rowOff>
    </xdr:to>
    <xdr:sp macro="" textlink="">
      <xdr:nvSpPr>
        <xdr:cNvPr id="12" name="TextBox 11">
          <a:extLst>
            <a:ext uri="{FF2B5EF4-FFF2-40B4-BE49-F238E27FC236}">
              <a16:creationId xmlns:a16="http://schemas.microsoft.com/office/drawing/2014/main" id="{9A707E33-85D5-4970-9769-C74EEE1E803E}"/>
            </a:ext>
          </a:extLst>
        </xdr:cNvPr>
        <xdr:cNvSpPr txBox="1"/>
      </xdr:nvSpPr>
      <xdr:spPr>
        <a:xfrm>
          <a:off x="7799294" y="21948589"/>
          <a:ext cx="769471"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Product 1</a:t>
          </a:r>
        </a:p>
      </xdr:txBody>
    </xdr:sp>
    <xdr:clientData/>
  </xdr:twoCellAnchor>
  <xdr:twoCellAnchor>
    <xdr:from>
      <xdr:col>1</xdr:col>
      <xdr:colOff>0</xdr:colOff>
      <xdr:row>4</xdr:row>
      <xdr:rowOff>70224</xdr:rowOff>
    </xdr:from>
    <xdr:to>
      <xdr:col>6</xdr:col>
      <xdr:colOff>7471</xdr:colOff>
      <xdr:row>15</xdr:row>
      <xdr:rowOff>104588</xdr:rowOff>
    </xdr:to>
    <xdr:graphicFrame macro="">
      <xdr:nvGraphicFramePr>
        <xdr:cNvPr id="18" name="Chart 17">
          <a:extLst>
            <a:ext uri="{FF2B5EF4-FFF2-40B4-BE49-F238E27FC236}">
              <a16:creationId xmlns:a16="http://schemas.microsoft.com/office/drawing/2014/main" id="{82C3CD80-5D95-4AD7-A9D5-A575EEFAF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7471</xdr:colOff>
      <xdr:row>4</xdr:row>
      <xdr:rowOff>70224</xdr:rowOff>
    </xdr:from>
    <xdr:to>
      <xdr:col>12</xdr:col>
      <xdr:colOff>7</xdr:colOff>
      <xdr:row>15</xdr:row>
      <xdr:rowOff>112059</xdr:rowOff>
    </xdr:to>
    <xdr:graphicFrame macro="">
      <xdr:nvGraphicFramePr>
        <xdr:cNvPr id="19" name="Chart 18">
          <a:extLst>
            <a:ext uri="{FF2B5EF4-FFF2-40B4-BE49-F238E27FC236}">
              <a16:creationId xmlns:a16="http://schemas.microsoft.com/office/drawing/2014/main" id="{39D8355E-8EE6-48F0-8C85-28646F632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6279</xdr:colOff>
      <xdr:row>17</xdr:row>
      <xdr:rowOff>52881</xdr:rowOff>
    </xdr:from>
    <xdr:to>
      <xdr:col>5</xdr:col>
      <xdr:colOff>752928</xdr:colOff>
      <xdr:row>28</xdr:row>
      <xdr:rowOff>145143</xdr:rowOff>
    </xdr:to>
    <xdr:graphicFrame macro="">
      <xdr:nvGraphicFramePr>
        <xdr:cNvPr id="20" name="Chart 19">
          <a:extLst>
            <a:ext uri="{FF2B5EF4-FFF2-40B4-BE49-F238E27FC236}">
              <a16:creationId xmlns:a16="http://schemas.microsoft.com/office/drawing/2014/main" id="{189DEF51-EA4C-405C-9C64-BE9DCF24B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xdr:colOff>
      <xdr:row>17</xdr:row>
      <xdr:rowOff>55282</xdr:rowOff>
    </xdr:from>
    <xdr:to>
      <xdr:col>12</xdr:col>
      <xdr:colOff>0</xdr:colOff>
      <xdr:row>28</xdr:row>
      <xdr:rowOff>127000</xdr:rowOff>
    </xdr:to>
    <xdr:graphicFrame macro="">
      <xdr:nvGraphicFramePr>
        <xdr:cNvPr id="22" name="Chart 21">
          <a:extLst>
            <a:ext uri="{FF2B5EF4-FFF2-40B4-BE49-F238E27FC236}">
              <a16:creationId xmlns:a16="http://schemas.microsoft.com/office/drawing/2014/main" id="{AFE3372D-3148-460A-89E0-6F423856B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1867</xdr:colOff>
      <xdr:row>30</xdr:row>
      <xdr:rowOff>39006</xdr:rowOff>
    </xdr:from>
    <xdr:to>
      <xdr:col>6</xdr:col>
      <xdr:colOff>7471</xdr:colOff>
      <xdr:row>39</xdr:row>
      <xdr:rowOff>149411</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017F928D-14F6-4602-B55D-90867F5E21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63867" y="5563506"/>
              <a:ext cx="3847354" cy="17931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2668</xdr:colOff>
      <xdr:row>30</xdr:row>
      <xdr:rowOff>39274</xdr:rowOff>
    </xdr:from>
    <xdr:to>
      <xdr:col>12</xdr:col>
      <xdr:colOff>9071</xdr:colOff>
      <xdr:row>39</xdr:row>
      <xdr:rowOff>145141</xdr:rowOff>
    </xdr:to>
    <xdr:graphicFrame macro="">
      <xdr:nvGraphicFramePr>
        <xdr:cNvPr id="24" name="Chart 23">
          <a:extLst>
            <a:ext uri="{FF2B5EF4-FFF2-40B4-BE49-F238E27FC236}">
              <a16:creationId xmlns:a16="http://schemas.microsoft.com/office/drawing/2014/main" id="{C98889AB-1589-4436-A0CE-153BC732B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323273</xdr:colOff>
      <xdr:row>41</xdr:row>
      <xdr:rowOff>92196</xdr:rowOff>
    </xdr:from>
    <xdr:to>
      <xdr:col>10</xdr:col>
      <xdr:colOff>404091</xdr:colOff>
      <xdr:row>48</xdr:row>
      <xdr:rowOff>92361</xdr:rowOff>
    </xdr:to>
    <xdr:graphicFrame macro="">
      <xdr:nvGraphicFramePr>
        <xdr:cNvPr id="26" name="Chart 25">
          <a:extLst>
            <a:ext uri="{FF2B5EF4-FFF2-40B4-BE49-F238E27FC236}">
              <a16:creationId xmlns:a16="http://schemas.microsoft.com/office/drawing/2014/main" id="{1DE30D8E-2A8A-4DD4-8AE2-3A73C63A8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179294</xdr:colOff>
      <xdr:row>111</xdr:row>
      <xdr:rowOff>164354</xdr:rowOff>
    </xdr:from>
    <xdr:to>
      <xdr:col>11</xdr:col>
      <xdr:colOff>186765</xdr:colOff>
      <xdr:row>113</xdr:row>
      <xdr:rowOff>44824</xdr:rowOff>
    </xdr:to>
    <xdr:sp macro="" textlink="">
      <xdr:nvSpPr>
        <xdr:cNvPr id="4" name="TextBox 3">
          <a:extLst>
            <a:ext uri="{FF2B5EF4-FFF2-40B4-BE49-F238E27FC236}">
              <a16:creationId xmlns:a16="http://schemas.microsoft.com/office/drawing/2014/main" id="{A9AE8528-19D6-4A00-AE11-CD5731EEDD8C}"/>
            </a:ext>
          </a:extLst>
        </xdr:cNvPr>
        <xdr:cNvSpPr txBox="1"/>
      </xdr:nvSpPr>
      <xdr:spPr>
        <a:xfrm>
          <a:off x="7831044" y="20643104"/>
          <a:ext cx="769471" cy="248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Product 1</a:t>
          </a:r>
        </a:p>
      </xdr:txBody>
    </xdr:sp>
    <xdr:clientData/>
  </xdr:twoCellAnchor>
  <xdr:twoCellAnchor>
    <xdr:from>
      <xdr:col>0</xdr:col>
      <xdr:colOff>754532</xdr:colOff>
      <xdr:row>4</xdr:row>
      <xdr:rowOff>36606</xdr:rowOff>
    </xdr:from>
    <xdr:to>
      <xdr:col>6</xdr:col>
      <xdr:colOff>7472</xdr:colOff>
      <xdr:row>15</xdr:row>
      <xdr:rowOff>149412</xdr:rowOff>
    </xdr:to>
    <xdr:graphicFrame macro="">
      <xdr:nvGraphicFramePr>
        <xdr:cNvPr id="8" name="Chart 7">
          <a:extLst>
            <a:ext uri="{FF2B5EF4-FFF2-40B4-BE49-F238E27FC236}">
              <a16:creationId xmlns:a16="http://schemas.microsoft.com/office/drawing/2014/main" id="{16089CAD-FC93-4280-80C0-CA78AC429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754530</xdr:colOff>
      <xdr:row>4</xdr:row>
      <xdr:rowOff>29882</xdr:rowOff>
    </xdr:from>
    <xdr:to>
      <xdr:col>12</xdr:col>
      <xdr:colOff>7471</xdr:colOff>
      <xdr:row>15</xdr:row>
      <xdr:rowOff>149411</xdr:rowOff>
    </xdr:to>
    <xdr:graphicFrame macro="">
      <xdr:nvGraphicFramePr>
        <xdr:cNvPr id="9" name="Chart 8">
          <a:extLst>
            <a:ext uri="{FF2B5EF4-FFF2-40B4-BE49-F238E27FC236}">
              <a16:creationId xmlns:a16="http://schemas.microsoft.com/office/drawing/2014/main" id="{13B0DE3F-52B4-4390-8F51-C51CB9E80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239059</xdr:colOff>
      <xdr:row>17</xdr:row>
      <xdr:rowOff>55283</xdr:rowOff>
    </xdr:from>
    <xdr:to>
      <xdr:col>6</xdr:col>
      <xdr:colOff>358589</xdr:colOff>
      <xdr:row>28</xdr:row>
      <xdr:rowOff>112059</xdr:rowOff>
    </xdr:to>
    <xdr:graphicFrame macro="">
      <xdr:nvGraphicFramePr>
        <xdr:cNvPr id="11" name="Chart 10">
          <a:extLst>
            <a:ext uri="{FF2B5EF4-FFF2-40B4-BE49-F238E27FC236}">
              <a16:creationId xmlns:a16="http://schemas.microsoft.com/office/drawing/2014/main" id="{3F800899-B363-4499-826C-4178DE574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537880</xdr:colOff>
      <xdr:row>17</xdr:row>
      <xdr:rowOff>92633</xdr:rowOff>
    </xdr:from>
    <xdr:to>
      <xdr:col>11</xdr:col>
      <xdr:colOff>470654</xdr:colOff>
      <xdr:row>28</xdr:row>
      <xdr:rowOff>104590</xdr:rowOff>
    </xdr:to>
    <xdr:graphicFrame macro="">
      <xdr:nvGraphicFramePr>
        <xdr:cNvPr id="12" name="Chart 11">
          <a:extLst>
            <a:ext uri="{FF2B5EF4-FFF2-40B4-BE49-F238E27FC236}">
              <a16:creationId xmlns:a16="http://schemas.microsoft.com/office/drawing/2014/main" id="{99DE253D-4E62-4B99-B74B-7CC46C0A4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748395</xdr:colOff>
      <xdr:row>31</xdr:row>
      <xdr:rowOff>179616</xdr:rowOff>
    </xdr:from>
    <xdr:to>
      <xdr:col>5</xdr:col>
      <xdr:colOff>752929</xdr:colOff>
      <xdr:row>40</xdr:row>
      <xdr:rowOff>172357</xdr:rowOff>
    </xdr:to>
    <xdr:graphicFrame macro="">
      <xdr:nvGraphicFramePr>
        <xdr:cNvPr id="19" name="Chart 18">
          <a:extLst>
            <a:ext uri="{FF2B5EF4-FFF2-40B4-BE49-F238E27FC236}">
              <a16:creationId xmlns:a16="http://schemas.microsoft.com/office/drawing/2014/main" id="{18FFCCA8-CC91-42E5-89D3-6D9439908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757464</xdr:colOff>
      <xdr:row>31</xdr:row>
      <xdr:rowOff>179614</xdr:rowOff>
    </xdr:from>
    <xdr:to>
      <xdr:col>12</xdr:col>
      <xdr:colOff>0</xdr:colOff>
      <xdr:row>41</xdr:row>
      <xdr:rowOff>9072</xdr:rowOff>
    </xdr:to>
    <xdr:graphicFrame macro="">
      <xdr:nvGraphicFramePr>
        <xdr:cNvPr id="20" name="Chart 19">
          <a:extLst>
            <a:ext uri="{FF2B5EF4-FFF2-40B4-BE49-F238E27FC236}">
              <a16:creationId xmlns:a16="http://schemas.microsoft.com/office/drawing/2014/main" id="{57E1FCA4-B20C-4C4F-AFD4-B6AC57C46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36287</xdr:colOff>
      <xdr:row>43</xdr:row>
      <xdr:rowOff>25399</xdr:rowOff>
    </xdr:from>
    <xdr:to>
      <xdr:col>6</xdr:col>
      <xdr:colOff>689429</xdr:colOff>
      <xdr:row>48</xdr:row>
      <xdr:rowOff>154214</xdr:rowOff>
    </xdr:to>
    <xdr:graphicFrame macro="">
      <xdr:nvGraphicFramePr>
        <xdr:cNvPr id="21" name="Chart 20">
          <a:extLst>
            <a:ext uri="{FF2B5EF4-FFF2-40B4-BE49-F238E27FC236}">
              <a16:creationId xmlns:a16="http://schemas.microsoft.com/office/drawing/2014/main" id="{B16E4ECA-77BD-4DC2-ABA1-75437FF28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154214</xdr:colOff>
      <xdr:row>43</xdr:row>
      <xdr:rowOff>117927</xdr:rowOff>
    </xdr:from>
    <xdr:to>
      <xdr:col>9</xdr:col>
      <xdr:colOff>553356</xdr:colOff>
      <xdr:row>48</xdr:row>
      <xdr:rowOff>81642</xdr:rowOff>
    </xdr:to>
    <xdr:pic>
      <xdr:nvPicPr>
        <xdr:cNvPr id="23" name="Picture 22">
          <a:extLst>
            <a:ext uri="{FF2B5EF4-FFF2-40B4-BE49-F238E27FC236}">
              <a16:creationId xmlns:a16="http://schemas.microsoft.com/office/drawing/2014/main" id="{5F7B0A16-7E6C-41B0-B186-F2474D3D7B7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286500" y="7919356"/>
          <a:ext cx="1161142" cy="8708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5DB80-372B-1042-9878-059B89118503}">
  <dimension ref="A1:U60"/>
  <sheetViews>
    <sheetView tabSelected="1" zoomScale="55" zoomScaleNormal="55" workbookViewId="0">
      <selection sqref="A1:M60"/>
    </sheetView>
  </sheetViews>
  <sheetFormatPr defaultColWidth="10.81640625" defaultRowHeight="18.5"/>
  <cols>
    <col min="1" max="19" width="10.81640625" style="5"/>
    <col min="20" max="20" width="20.453125" style="5" bestFit="1" customWidth="1"/>
    <col min="21" max="21" width="33.36328125" style="5" bestFit="1" customWidth="1"/>
    <col min="22" max="16384" width="10.81640625" style="5"/>
  </cols>
  <sheetData>
    <row r="1" spans="1:21">
      <c r="A1" s="52" t="s">
        <v>57</v>
      </c>
      <c r="B1" s="53"/>
      <c r="C1" s="53"/>
      <c r="D1" s="53"/>
      <c r="E1" s="53"/>
      <c r="F1" s="53"/>
      <c r="G1" s="53"/>
      <c r="H1" s="53"/>
      <c r="I1" s="53"/>
      <c r="J1" s="53"/>
      <c r="K1" s="53"/>
      <c r="L1" s="53"/>
      <c r="M1" s="53"/>
    </row>
    <row r="2" spans="1:21">
      <c r="A2" s="53"/>
      <c r="B2" s="53"/>
      <c r="C2" s="53"/>
      <c r="D2" s="53"/>
      <c r="E2" s="53"/>
      <c r="F2" s="53"/>
      <c r="G2" s="53"/>
      <c r="H2" s="53"/>
      <c r="I2" s="53"/>
      <c r="J2" s="53"/>
      <c r="K2" s="53"/>
      <c r="L2" s="53"/>
      <c r="M2" s="53"/>
      <c r="T2" s="1"/>
      <c r="U2" s="3"/>
    </row>
    <row r="3" spans="1:21">
      <c r="A3" s="53"/>
      <c r="B3" s="53"/>
      <c r="C3" s="53"/>
      <c r="D3" s="53"/>
      <c r="E3" s="53"/>
      <c r="F3" s="53"/>
      <c r="G3" s="53"/>
      <c r="H3" s="53"/>
      <c r="I3" s="53"/>
      <c r="J3" s="53"/>
      <c r="K3" s="53"/>
      <c r="L3" s="53"/>
      <c r="M3" s="53"/>
    </row>
    <row r="4" spans="1:21">
      <c r="A4" s="53"/>
      <c r="B4" s="53"/>
      <c r="C4" s="53"/>
      <c r="D4" s="53"/>
      <c r="E4" s="53"/>
      <c r="F4" s="53"/>
      <c r="G4" s="53"/>
      <c r="H4" s="53"/>
      <c r="I4" s="53"/>
      <c r="J4" s="53"/>
      <c r="K4" s="53"/>
      <c r="L4" s="53"/>
      <c r="M4" s="53"/>
    </row>
    <row r="5" spans="1:21">
      <c r="A5" s="53"/>
      <c r="B5" s="53"/>
      <c r="C5" s="53"/>
      <c r="D5" s="53"/>
      <c r="E5" s="53"/>
      <c r="F5" s="53"/>
      <c r="G5" s="53"/>
      <c r="H5" s="53"/>
      <c r="I5" s="53"/>
      <c r="J5" s="53"/>
      <c r="K5" s="53"/>
      <c r="L5" s="53"/>
      <c r="M5" s="53"/>
    </row>
    <row r="6" spans="1:21">
      <c r="A6" s="53"/>
      <c r="B6" s="53"/>
      <c r="C6" s="53"/>
      <c r="D6" s="53"/>
      <c r="E6" s="53"/>
      <c r="F6" s="53"/>
      <c r="G6" s="53"/>
      <c r="H6" s="53"/>
      <c r="I6" s="53"/>
      <c r="J6" s="53"/>
      <c r="K6" s="53"/>
      <c r="L6" s="53"/>
      <c r="M6" s="53"/>
    </row>
    <row r="7" spans="1:21">
      <c r="A7" s="53"/>
      <c r="B7" s="53"/>
      <c r="C7" s="53"/>
      <c r="D7" s="53"/>
      <c r="E7" s="53"/>
      <c r="F7" s="53"/>
      <c r="G7" s="53"/>
      <c r="H7" s="53"/>
      <c r="I7" s="53"/>
      <c r="J7" s="53"/>
      <c r="K7" s="53"/>
      <c r="L7" s="53"/>
      <c r="M7" s="53"/>
    </row>
    <row r="8" spans="1:21">
      <c r="A8" s="53"/>
      <c r="B8" s="53"/>
      <c r="C8" s="53"/>
      <c r="D8" s="53"/>
      <c r="E8" s="53"/>
      <c r="F8" s="53"/>
      <c r="G8" s="53"/>
      <c r="H8" s="53"/>
      <c r="I8" s="53"/>
      <c r="J8" s="53"/>
      <c r="K8" s="53"/>
      <c r="L8" s="53"/>
      <c r="M8" s="53"/>
    </row>
    <row r="9" spans="1:21">
      <c r="A9" s="53"/>
      <c r="B9" s="53"/>
      <c r="C9" s="53"/>
      <c r="D9" s="53"/>
      <c r="E9" s="53"/>
      <c r="F9" s="53"/>
      <c r="G9" s="53"/>
      <c r="H9" s="53"/>
      <c r="I9" s="53"/>
      <c r="J9" s="53"/>
      <c r="K9" s="53"/>
      <c r="L9" s="53"/>
      <c r="M9" s="53"/>
    </row>
    <row r="10" spans="1:21">
      <c r="A10" s="53"/>
      <c r="B10" s="53"/>
      <c r="C10" s="53"/>
      <c r="D10" s="53"/>
      <c r="E10" s="53"/>
      <c r="F10" s="53"/>
      <c r="G10" s="53"/>
      <c r="H10" s="53"/>
      <c r="I10" s="53"/>
      <c r="J10" s="53"/>
      <c r="K10" s="53"/>
      <c r="L10" s="53"/>
      <c r="M10" s="53"/>
    </row>
    <row r="11" spans="1:21">
      <c r="A11" s="53"/>
      <c r="B11" s="53"/>
      <c r="C11" s="53"/>
      <c r="D11" s="53"/>
      <c r="E11" s="53"/>
      <c r="F11" s="53"/>
      <c r="G11" s="53"/>
      <c r="H11" s="53"/>
      <c r="I11" s="53"/>
      <c r="J11" s="53"/>
      <c r="K11" s="53"/>
      <c r="L11" s="53"/>
      <c r="M11" s="53"/>
    </row>
    <row r="12" spans="1:21">
      <c r="A12" s="53"/>
      <c r="B12" s="53"/>
      <c r="C12" s="53"/>
      <c r="D12" s="53"/>
      <c r="E12" s="53"/>
      <c r="F12" s="53"/>
      <c r="G12" s="53"/>
      <c r="H12" s="53"/>
      <c r="I12" s="53"/>
      <c r="J12" s="53"/>
      <c r="K12" s="53"/>
      <c r="L12" s="53"/>
      <c r="M12" s="53"/>
    </row>
    <row r="13" spans="1:21">
      <c r="A13" s="53"/>
      <c r="B13" s="53"/>
      <c r="C13" s="53"/>
      <c r="D13" s="53"/>
      <c r="E13" s="53"/>
      <c r="F13" s="53"/>
      <c r="G13" s="53"/>
      <c r="H13" s="53"/>
      <c r="I13" s="53"/>
      <c r="J13" s="53"/>
      <c r="K13" s="53"/>
      <c r="L13" s="53"/>
      <c r="M13" s="53"/>
    </row>
    <row r="14" spans="1:21">
      <c r="A14" s="53"/>
      <c r="B14" s="53"/>
      <c r="C14" s="53"/>
      <c r="D14" s="53"/>
      <c r="E14" s="53"/>
      <c r="F14" s="53"/>
      <c r="G14" s="53"/>
      <c r="H14" s="53"/>
      <c r="I14" s="53"/>
      <c r="J14" s="53"/>
      <c r="K14" s="53"/>
      <c r="L14" s="53"/>
      <c r="M14" s="53"/>
    </row>
    <row r="15" spans="1:21">
      <c r="A15" s="53"/>
      <c r="B15" s="53"/>
      <c r="C15" s="53"/>
      <c r="D15" s="53"/>
      <c r="E15" s="53"/>
      <c r="F15" s="53"/>
      <c r="G15" s="53"/>
      <c r="H15" s="53"/>
      <c r="I15" s="53"/>
      <c r="J15" s="53"/>
      <c r="K15" s="53"/>
      <c r="L15" s="53"/>
      <c r="M15" s="53"/>
    </row>
    <row r="16" spans="1:21">
      <c r="A16" s="53"/>
      <c r="B16" s="53"/>
      <c r="C16" s="53"/>
      <c r="D16" s="53"/>
      <c r="E16" s="53"/>
      <c r="F16" s="53"/>
      <c r="G16" s="53"/>
      <c r="H16" s="53"/>
      <c r="I16" s="53"/>
      <c r="J16" s="53"/>
      <c r="K16" s="53"/>
      <c r="L16" s="53"/>
      <c r="M16" s="53"/>
    </row>
    <row r="17" spans="1:21">
      <c r="A17" s="53"/>
      <c r="B17" s="53"/>
      <c r="C17" s="53"/>
      <c r="D17" s="53"/>
      <c r="E17" s="53"/>
      <c r="F17" s="53"/>
      <c r="G17" s="53"/>
      <c r="H17" s="53"/>
      <c r="I17" s="53"/>
      <c r="J17" s="53"/>
      <c r="K17" s="53"/>
      <c r="L17" s="53"/>
      <c r="M17" s="53"/>
      <c r="T17" s="2"/>
      <c r="U17" s="6"/>
    </row>
    <row r="18" spans="1:21">
      <c r="A18" s="53"/>
      <c r="B18" s="53"/>
      <c r="C18" s="53"/>
      <c r="D18" s="53"/>
      <c r="E18" s="53"/>
      <c r="F18" s="53"/>
      <c r="G18" s="53"/>
      <c r="H18" s="53"/>
      <c r="I18" s="53"/>
      <c r="J18" s="53"/>
      <c r="K18" s="53"/>
      <c r="L18" s="53"/>
      <c r="M18" s="53"/>
      <c r="T18" s="2"/>
      <c r="U18" s="6"/>
    </row>
    <row r="19" spans="1:21">
      <c r="A19" s="53"/>
      <c r="B19" s="53"/>
      <c r="C19" s="53"/>
      <c r="D19" s="53"/>
      <c r="E19" s="53"/>
      <c r="F19" s="53"/>
      <c r="G19" s="53"/>
      <c r="H19" s="53"/>
      <c r="I19" s="53"/>
      <c r="J19" s="53"/>
      <c r="K19" s="53"/>
      <c r="L19" s="53"/>
      <c r="M19" s="53"/>
      <c r="T19" s="2"/>
      <c r="U19" s="6"/>
    </row>
    <row r="20" spans="1:21">
      <c r="A20" s="53"/>
      <c r="B20" s="53"/>
      <c r="C20" s="53"/>
      <c r="D20" s="53"/>
      <c r="E20" s="53"/>
      <c r="F20" s="53"/>
      <c r="G20" s="53"/>
      <c r="H20" s="53"/>
      <c r="I20" s="53"/>
      <c r="J20" s="53"/>
      <c r="K20" s="53"/>
      <c r="L20" s="53"/>
      <c r="M20" s="53"/>
      <c r="T20" s="2"/>
      <c r="U20" s="6"/>
    </row>
    <row r="21" spans="1:21">
      <c r="A21" s="53"/>
      <c r="B21" s="53"/>
      <c r="C21" s="53"/>
      <c r="D21" s="53"/>
      <c r="E21" s="53"/>
      <c r="F21" s="53"/>
      <c r="G21" s="53"/>
      <c r="H21" s="53"/>
      <c r="I21" s="53"/>
      <c r="J21" s="53"/>
      <c r="K21" s="53"/>
      <c r="L21" s="53"/>
      <c r="M21" s="53"/>
      <c r="T21" s="2"/>
      <c r="U21" s="6"/>
    </row>
    <row r="22" spans="1:21">
      <c r="A22" s="53"/>
      <c r="B22" s="53"/>
      <c r="C22" s="53"/>
      <c r="D22" s="53"/>
      <c r="E22" s="53"/>
      <c r="F22" s="53"/>
      <c r="G22" s="53"/>
      <c r="H22" s="53"/>
      <c r="I22" s="53"/>
      <c r="J22" s="53"/>
      <c r="K22" s="53"/>
      <c r="L22" s="53"/>
      <c r="M22" s="53"/>
    </row>
    <row r="23" spans="1:21">
      <c r="A23" s="53"/>
      <c r="B23" s="53"/>
      <c r="C23" s="53"/>
      <c r="D23" s="53"/>
      <c r="E23" s="53"/>
      <c r="F23" s="53"/>
      <c r="G23" s="53"/>
      <c r="H23" s="53"/>
      <c r="I23" s="53"/>
      <c r="J23" s="53"/>
      <c r="K23" s="53"/>
      <c r="L23" s="53"/>
      <c r="M23" s="53"/>
      <c r="P23" s="5" t="s">
        <v>1</v>
      </c>
    </row>
    <row r="24" spans="1:21">
      <c r="A24" s="53"/>
      <c r="B24" s="53"/>
      <c r="C24" s="53"/>
      <c r="D24" s="53"/>
      <c r="E24" s="53"/>
      <c r="F24" s="53"/>
      <c r="G24" s="53"/>
      <c r="H24" s="53"/>
      <c r="I24" s="53"/>
      <c r="J24" s="53"/>
      <c r="K24" s="53"/>
      <c r="L24" s="53"/>
      <c r="M24" s="53"/>
    </row>
    <row r="25" spans="1:21">
      <c r="A25" s="53"/>
      <c r="B25" s="53"/>
      <c r="C25" s="53"/>
      <c r="D25" s="53"/>
      <c r="E25" s="53"/>
      <c r="F25" s="53"/>
      <c r="G25" s="53"/>
      <c r="H25" s="53"/>
      <c r="I25" s="53"/>
      <c r="J25" s="53"/>
      <c r="K25" s="53"/>
      <c r="L25" s="53"/>
      <c r="M25" s="53"/>
    </row>
    <row r="26" spans="1:21">
      <c r="A26" s="53"/>
      <c r="B26" s="53"/>
      <c r="C26" s="53"/>
      <c r="D26" s="53"/>
      <c r="E26" s="53"/>
      <c r="F26" s="53"/>
      <c r="G26" s="53"/>
      <c r="H26" s="53"/>
      <c r="I26" s="53"/>
      <c r="J26" s="53"/>
      <c r="K26" s="53"/>
      <c r="L26" s="53"/>
      <c r="M26" s="53"/>
    </row>
    <row r="27" spans="1:21">
      <c r="A27" s="53"/>
      <c r="B27" s="53"/>
      <c r="C27" s="53"/>
      <c r="D27" s="53"/>
      <c r="E27" s="53"/>
      <c r="F27" s="53"/>
      <c r="G27" s="53"/>
      <c r="H27" s="53"/>
      <c r="I27" s="53"/>
      <c r="J27" s="53"/>
      <c r="K27" s="53"/>
      <c r="L27" s="53"/>
      <c r="M27" s="53"/>
    </row>
    <row r="28" spans="1:21">
      <c r="A28" s="53"/>
      <c r="B28" s="53"/>
      <c r="C28" s="53"/>
      <c r="D28" s="53"/>
      <c r="E28" s="53"/>
      <c r="F28" s="53"/>
      <c r="G28" s="53"/>
      <c r="H28" s="53"/>
      <c r="I28" s="53"/>
      <c r="J28" s="53"/>
      <c r="K28" s="53"/>
      <c r="L28" s="53"/>
      <c r="M28" s="53"/>
    </row>
    <row r="29" spans="1:21">
      <c r="A29" s="53"/>
      <c r="B29" s="53"/>
      <c r="C29" s="53"/>
      <c r="D29" s="53"/>
      <c r="E29" s="53"/>
      <c r="F29" s="53"/>
      <c r="G29" s="53"/>
      <c r="H29" s="53"/>
      <c r="I29" s="53"/>
      <c r="J29" s="53"/>
      <c r="K29" s="53"/>
      <c r="L29" s="53"/>
      <c r="M29" s="53"/>
    </row>
    <row r="30" spans="1:21">
      <c r="A30" s="53"/>
      <c r="B30" s="53"/>
      <c r="C30" s="53"/>
      <c r="D30" s="53"/>
      <c r="E30" s="53"/>
      <c r="F30" s="53"/>
      <c r="G30" s="53"/>
      <c r="H30" s="53"/>
      <c r="I30" s="53"/>
      <c r="J30" s="53"/>
      <c r="K30" s="53"/>
      <c r="L30" s="53"/>
      <c r="M30" s="53"/>
    </row>
    <row r="31" spans="1:21">
      <c r="A31" s="53"/>
      <c r="B31" s="53"/>
      <c r="C31" s="53"/>
      <c r="D31" s="53"/>
      <c r="E31" s="53"/>
      <c r="F31" s="53"/>
      <c r="G31" s="53"/>
      <c r="H31" s="53"/>
      <c r="I31" s="53"/>
      <c r="J31" s="53"/>
      <c r="K31" s="53"/>
      <c r="L31" s="53"/>
      <c r="M31" s="53"/>
    </row>
    <row r="32" spans="1:21">
      <c r="A32" s="53"/>
      <c r="B32" s="53"/>
      <c r="C32" s="53"/>
      <c r="D32" s="53"/>
      <c r="E32" s="53"/>
      <c r="F32" s="53"/>
      <c r="G32" s="53"/>
      <c r="H32" s="53"/>
      <c r="I32" s="53"/>
      <c r="J32" s="53"/>
      <c r="K32" s="53"/>
      <c r="L32" s="53"/>
      <c r="M32" s="53"/>
    </row>
    <row r="33" spans="1:13">
      <c r="A33" s="53"/>
      <c r="B33" s="53"/>
      <c r="C33" s="53"/>
      <c r="D33" s="53"/>
      <c r="E33" s="53"/>
      <c r="F33" s="53"/>
      <c r="G33" s="53"/>
      <c r="H33" s="53"/>
      <c r="I33" s="53"/>
      <c r="J33" s="53"/>
      <c r="K33" s="53"/>
      <c r="L33" s="53"/>
      <c r="M33" s="53"/>
    </row>
    <row r="34" spans="1:13">
      <c r="A34" s="53"/>
      <c r="B34" s="53"/>
      <c r="C34" s="53"/>
      <c r="D34" s="53"/>
      <c r="E34" s="53"/>
      <c r="F34" s="53"/>
      <c r="G34" s="53"/>
      <c r="H34" s="53"/>
      <c r="I34" s="53"/>
      <c r="J34" s="53"/>
      <c r="K34" s="53"/>
      <c r="L34" s="53"/>
      <c r="M34" s="53"/>
    </row>
    <row r="35" spans="1:13">
      <c r="A35" s="53"/>
      <c r="B35" s="53"/>
      <c r="C35" s="53"/>
      <c r="D35" s="53"/>
      <c r="E35" s="53"/>
      <c r="F35" s="53"/>
      <c r="G35" s="53"/>
      <c r="H35" s="53"/>
      <c r="I35" s="53"/>
      <c r="J35" s="53"/>
      <c r="K35" s="53"/>
      <c r="L35" s="53"/>
      <c r="M35" s="53"/>
    </row>
    <row r="36" spans="1:13">
      <c r="A36" s="53"/>
      <c r="B36" s="53"/>
      <c r="C36" s="53"/>
      <c r="D36" s="53"/>
      <c r="E36" s="53"/>
      <c r="F36" s="53"/>
      <c r="G36" s="53"/>
      <c r="H36" s="53"/>
      <c r="I36" s="53"/>
      <c r="J36" s="53"/>
      <c r="K36" s="53"/>
      <c r="L36" s="53"/>
      <c r="M36" s="53"/>
    </row>
    <row r="37" spans="1:13">
      <c r="A37" s="53"/>
      <c r="B37" s="53"/>
      <c r="C37" s="53"/>
      <c r="D37" s="53"/>
      <c r="E37" s="53"/>
      <c r="F37" s="53"/>
      <c r="G37" s="53"/>
      <c r="H37" s="53"/>
      <c r="I37" s="53"/>
      <c r="J37" s="53"/>
      <c r="K37" s="53"/>
      <c r="L37" s="53"/>
      <c r="M37" s="53"/>
    </row>
    <row r="38" spans="1:13">
      <c r="A38" s="53"/>
      <c r="B38" s="53"/>
      <c r="C38" s="53"/>
      <c r="D38" s="53"/>
      <c r="E38" s="53"/>
      <c r="F38" s="53"/>
      <c r="G38" s="53"/>
      <c r="H38" s="53"/>
      <c r="I38" s="53"/>
      <c r="J38" s="53"/>
      <c r="K38" s="53"/>
      <c r="L38" s="53"/>
      <c r="M38" s="53"/>
    </row>
    <row r="39" spans="1:13">
      <c r="A39" s="53"/>
      <c r="B39" s="53"/>
      <c r="C39" s="53"/>
      <c r="D39" s="53"/>
      <c r="E39" s="53"/>
      <c r="F39" s="53"/>
      <c r="G39" s="53"/>
      <c r="H39" s="53"/>
      <c r="I39" s="53"/>
      <c r="J39" s="53"/>
      <c r="K39" s="53"/>
      <c r="L39" s="53"/>
      <c r="M39" s="53"/>
    </row>
    <row r="40" spans="1:13">
      <c r="A40" s="53"/>
      <c r="B40" s="53"/>
      <c r="C40" s="53"/>
      <c r="D40" s="53"/>
      <c r="E40" s="53"/>
      <c r="F40" s="53"/>
      <c r="G40" s="53"/>
      <c r="H40" s="53"/>
      <c r="I40" s="53"/>
      <c r="J40" s="53"/>
      <c r="K40" s="53"/>
      <c r="L40" s="53"/>
      <c r="M40" s="53"/>
    </row>
    <row r="41" spans="1:13">
      <c r="A41" s="53"/>
      <c r="B41" s="53"/>
      <c r="C41" s="53"/>
      <c r="D41" s="53"/>
      <c r="E41" s="53"/>
      <c r="F41" s="53"/>
      <c r="G41" s="53"/>
      <c r="H41" s="53"/>
      <c r="I41" s="53"/>
      <c r="J41" s="53"/>
      <c r="K41" s="53"/>
      <c r="L41" s="53"/>
      <c r="M41" s="53"/>
    </row>
    <row r="42" spans="1:13">
      <c r="A42" s="53"/>
      <c r="B42" s="53"/>
      <c r="C42" s="53"/>
      <c r="D42" s="53"/>
      <c r="E42" s="53"/>
      <c r="F42" s="53"/>
      <c r="G42" s="53"/>
      <c r="H42" s="53"/>
      <c r="I42" s="53"/>
      <c r="J42" s="53"/>
      <c r="K42" s="53"/>
      <c r="L42" s="53"/>
      <c r="M42" s="53"/>
    </row>
    <row r="43" spans="1:13">
      <c r="A43" s="53"/>
      <c r="B43" s="53"/>
      <c r="C43" s="53"/>
      <c r="D43" s="53"/>
      <c r="E43" s="53"/>
      <c r="F43" s="53"/>
      <c r="G43" s="53"/>
      <c r="H43" s="53"/>
      <c r="I43" s="53"/>
      <c r="J43" s="53"/>
      <c r="K43" s="53"/>
      <c r="L43" s="53"/>
      <c r="M43" s="53"/>
    </row>
    <row r="44" spans="1:13">
      <c r="A44" s="53"/>
      <c r="B44" s="53"/>
      <c r="C44" s="53"/>
      <c r="D44" s="53"/>
      <c r="E44" s="53"/>
      <c r="F44" s="53"/>
      <c r="G44" s="53"/>
      <c r="H44" s="53"/>
      <c r="I44" s="53"/>
      <c r="J44" s="53"/>
      <c r="K44" s="53"/>
      <c r="L44" s="53"/>
      <c r="M44" s="53"/>
    </row>
    <row r="45" spans="1:13">
      <c r="A45" s="53"/>
      <c r="B45" s="53"/>
      <c r="C45" s="53"/>
      <c r="D45" s="53"/>
      <c r="E45" s="53"/>
      <c r="F45" s="53"/>
      <c r="G45" s="53"/>
      <c r="H45" s="53"/>
      <c r="I45" s="53"/>
      <c r="J45" s="53"/>
      <c r="K45" s="53"/>
      <c r="L45" s="53"/>
      <c r="M45" s="53"/>
    </row>
    <row r="46" spans="1:13">
      <c r="A46" s="53"/>
      <c r="B46" s="53"/>
      <c r="C46" s="53"/>
      <c r="D46" s="53"/>
      <c r="E46" s="53"/>
      <c r="F46" s="53"/>
      <c r="G46" s="53"/>
      <c r="H46" s="53"/>
      <c r="I46" s="53"/>
      <c r="J46" s="53"/>
      <c r="K46" s="53"/>
      <c r="L46" s="53"/>
      <c r="M46" s="53"/>
    </row>
    <row r="47" spans="1:13">
      <c r="A47" s="53"/>
      <c r="B47" s="53"/>
      <c r="C47" s="53"/>
      <c r="D47" s="53"/>
      <c r="E47" s="53"/>
      <c r="F47" s="53"/>
      <c r="G47" s="53"/>
      <c r="H47" s="53"/>
      <c r="I47" s="53"/>
      <c r="J47" s="53"/>
      <c r="K47" s="53"/>
      <c r="L47" s="53"/>
      <c r="M47" s="53"/>
    </row>
    <row r="48" spans="1:13">
      <c r="A48" s="53"/>
      <c r="B48" s="53"/>
      <c r="C48" s="53"/>
      <c r="D48" s="53"/>
      <c r="E48" s="53"/>
      <c r="F48" s="53"/>
      <c r="G48" s="53"/>
      <c r="H48" s="53"/>
      <c r="I48" s="53"/>
      <c r="J48" s="53"/>
      <c r="K48" s="53"/>
      <c r="L48" s="53"/>
      <c r="M48" s="53"/>
    </row>
    <row r="49" spans="1:13">
      <c r="A49" s="53"/>
      <c r="B49" s="53"/>
      <c r="C49" s="53"/>
      <c r="D49" s="53"/>
      <c r="E49" s="53"/>
      <c r="F49" s="53"/>
      <c r="G49" s="53"/>
      <c r="H49" s="53"/>
      <c r="I49" s="53"/>
      <c r="J49" s="53"/>
      <c r="K49" s="53"/>
      <c r="L49" s="53"/>
      <c r="M49" s="53"/>
    </row>
    <row r="50" spans="1:13">
      <c r="A50" s="53"/>
      <c r="B50" s="53"/>
      <c r="C50" s="53"/>
      <c r="D50" s="53"/>
      <c r="E50" s="53"/>
      <c r="F50" s="53"/>
      <c r="G50" s="53"/>
      <c r="H50" s="53"/>
      <c r="I50" s="53"/>
      <c r="J50" s="53"/>
      <c r="K50" s="53"/>
      <c r="L50" s="53"/>
      <c r="M50" s="53"/>
    </row>
    <row r="51" spans="1:13">
      <c r="A51" s="53"/>
      <c r="B51" s="53"/>
      <c r="C51" s="53"/>
      <c r="D51" s="53"/>
      <c r="E51" s="53"/>
      <c r="F51" s="53"/>
      <c r="G51" s="53"/>
      <c r="H51" s="53"/>
      <c r="I51" s="53"/>
      <c r="J51" s="53"/>
      <c r="K51" s="53"/>
      <c r="L51" s="53"/>
      <c r="M51" s="53"/>
    </row>
    <row r="52" spans="1:13">
      <c r="A52" s="53"/>
      <c r="B52" s="53"/>
      <c r="C52" s="53"/>
      <c r="D52" s="53"/>
      <c r="E52" s="53"/>
      <c r="F52" s="53"/>
      <c r="G52" s="53"/>
      <c r="H52" s="53"/>
      <c r="I52" s="53"/>
      <c r="J52" s="53"/>
      <c r="K52" s="53"/>
      <c r="L52" s="53"/>
      <c r="M52" s="53"/>
    </row>
    <row r="53" spans="1:13">
      <c r="A53" s="53"/>
      <c r="B53" s="53"/>
      <c r="C53" s="53"/>
      <c r="D53" s="53"/>
      <c r="E53" s="53"/>
      <c r="F53" s="53"/>
      <c r="G53" s="53"/>
      <c r="H53" s="53"/>
      <c r="I53" s="53"/>
      <c r="J53" s="53"/>
      <c r="K53" s="53"/>
      <c r="L53" s="53"/>
      <c r="M53" s="53"/>
    </row>
    <row r="54" spans="1:13">
      <c r="A54" s="53"/>
      <c r="B54" s="53"/>
      <c r="C54" s="53"/>
      <c r="D54" s="53"/>
      <c r="E54" s="53"/>
      <c r="F54" s="53"/>
      <c r="G54" s="53"/>
      <c r="H54" s="53"/>
      <c r="I54" s="53"/>
      <c r="J54" s="53"/>
      <c r="K54" s="53"/>
      <c r="L54" s="53"/>
      <c r="M54" s="53"/>
    </row>
    <row r="55" spans="1:13">
      <c r="A55" s="53"/>
      <c r="B55" s="53"/>
      <c r="C55" s="53"/>
      <c r="D55" s="53"/>
      <c r="E55" s="53"/>
      <c r="F55" s="53"/>
      <c r="G55" s="53"/>
      <c r="H55" s="53"/>
      <c r="I55" s="53"/>
      <c r="J55" s="53"/>
      <c r="K55" s="53"/>
      <c r="L55" s="53"/>
      <c r="M55" s="53"/>
    </row>
    <row r="56" spans="1:13">
      <c r="A56" s="53"/>
      <c r="B56" s="53"/>
      <c r="C56" s="53"/>
      <c r="D56" s="53"/>
      <c r="E56" s="53"/>
      <c r="F56" s="53"/>
      <c r="G56" s="53"/>
      <c r="H56" s="53"/>
      <c r="I56" s="53"/>
      <c r="J56" s="53"/>
      <c r="K56" s="53"/>
      <c r="L56" s="53"/>
      <c r="M56" s="53"/>
    </row>
    <row r="57" spans="1:13">
      <c r="A57" s="53"/>
      <c r="B57" s="53"/>
      <c r="C57" s="53"/>
      <c r="D57" s="53"/>
      <c r="E57" s="53"/>
      <c r="F57" s="53"/>
      <c r="G57" s="53"/>
      <c r="H57" s="53"/>
      <c r="I57" s="53"/>
      <c r="J57" s="53"/>
      <c r="K57" s="53"/>
      <c r="L57" s="53"/>
      <c r="M57" s="53"/>
    </row>
    <row r="58" spans="1:13">
      <c r="A58" s="53"/>
      <c r="B58" s="53"/>
      <c r="C58" s="53"/>
      <c r="D58" s="53"/>
      <c r="E58" s="53"/>
      <c r="F58" s="53"/>
      <c r="G58" s="53"/>
      <c r="H58" s="53"/>
      <c r="I58" s="53"/>
      <c r="J58" s="53"/>
      <c r="K58" s="53"/>
      <c r="L58" s="53"/>
      <c r="M58" s="53"/>
    </row>
    <row r="59" spans="1:13">
      <c r="A59" s="53"/>
      <c r="B59" s="53"/>
      <c r="C59" s="53"/>
      <c r="D59" s="53"/>
      <c r="E59" s="53"/>
      <c r="F59" s="53"/>
      <c r="G59" s="53"/>
      <c r="H59" s="53"/>
      <c r="I59" s="53"/>
      <c r="J59" s="53"/>
      <c r="K59" s="53"/>
      <c r="L59" s="53"/>
      <c r="M59" s="53"/>
    </row>
    <row r="60" spans="1:13">
      <c r="A60" s="53"/>
      <c r="B60" s="53"/>
      <c r="C60" s="53"/>
      <c r="D60" s="53"/>
      <c r="E60" s="53"/>
      <c r="F60" s="53"/>
      <c r="G60" s="53"/>
      <c r="H60" s="53"/>
      <c r="I60" s="53"/>
      <c r="J60" s="53"/>
      <c r="K60" s="53"/>
      <c r="L60" s="53"/>
      <c r="M60" s="53"/>
    </row>
  </sheetData>
  <sortState xmlns:xlrd2="http://schemas.microsoft.com/office/spreadsheetml/2017/richdata2" ref="T4:U9">
    <sortCondition ref="U3:U9"/>
  </sortState>
  <mergeCells count="1">
    <mergeCell ref="A1:M60"/>
  </mergeCells>
  <printOptions horizontalCentered="1" verticalCentered="1"/>
  <pageMargins left="0.7" right="0.7" top="0.75" bottom="0.75" header="0.3" footer="0.3"/>
  <pageSetup scale="6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777C-574F-5841-8F72-A72F5DAC5FB5}">
  <sheetPr>
    <pageSetUpPr fitToPage="1"/>
  </sheetPr>
  <dimension ref="A3:T60"/>
  <sheetViews>
    <sheetView zoomScale="55" zoomScaleNormal="55" zoomScaleSheetLayoutView="115" workbookViewId="0">
      <selection activeCell="A10" sqref="A10"/>
    </sheetView>
  </sheetViews>
  <sheetFormatPr defaultColWidth="10.90625" defaultRowHeight="14.5"/>
  <cols>
    <col min="4" max="4" width="11.36328125" bestFit="1" customWidth="1"/>
    <col min="15" max="15" width="23.08984375" customWidth="1"/>
    <col min="16" max="16" width="24.6328125" customWidth="1"/>
    <col min="17" max="18" width="15.7265625" bestFit="1" customWidth="1"/>
    <col min="19" max="20" width="11.81640625" bestFit="1" customWidth="1"/>
  </cols>
  <sheetData>
    <row r="3" spans="1:20">
      <c r="O3" s="60" t="s">
        <v>3</v>
      </c>
      <c r="P3" s="60"/>
      <c r="Q3" s="60"/>
      <c r="R3" s="60"/>
      <c r="S3" s="60"/>
    </row>
    <row r="4" spans="1:20">
      <c r="B4" s="20" t="s">
        <v>8</v>
      </c>
      <c r="C4" s="20"/>
      <c r="D4" s="20"/>
      <c r="E4" s="20"/>
      <c r="F4" s="20"/>
      <c r="H4" s="20" t="s">
        <v>9</v>
      </c>
      <c r="I4" s="20"/>
      <c r="J4" s="20"/>
      <c r="K4" s="20"/>
      <c r="L4" s="20"/>
      <c r="O4" s="7"/>
      <c r="P4" s="7" t="s">
        <v>4</v>
      </c>
      <c r="Q4" s="7" t="s">
        <v>5</v>
      </c>
      <c r="R4" s="7" t="s">
        <v>6</v>
      </c>
      <c r="S4" s="7" t="s">
        <v>7</v>
      </c>
      <c r="T4" s="7"/>
    </row>
    <row r="5" spans="1:20">
      <c r="O5" s="7">
        <v>2018</v>
      </c>
      <c r="P5" s="16">
        <v>36397000</v>
      </c>
      <c r="Q5" s="16">
        <v>25861153.402799997</v>
      </c>
      <c r="R5" s="16">
        <v>5485302.2752559995</v>
      </c>
      <c r="S5" s="16">
        <v>3501475.2297340003</v>
      </c>
      <c r="T5" s="16"/>
    </row>
    <row r="6" spans="1:20">
      <c r="O6" s="7">
        <v>2019</v>
      </c>
      <c r="P6" s="16">
        <v>39117000</v>
      </c>
      <c r="Q6" s="16">
        <v>26463674.008200001</v>
      </c>
      <c r="R6" s="16">
        <v>6159408.9309609998</v>
      </c>
      <c r="S6" s="16">
        <v>3467257.4556360003</v>
      </c>
      <c r="T6" s="16"/>
    </row>
    <row r="7" spans="1:20" ht="14.5" customHeight="1">
      <c r="A7" s="17"/>
      <c r="O7" s="7">
        <v>2020</v>
      </c>
      <c r="P7" s="16">
        <v>37403000</v>
      </c>
      <c r="Q7" s="16">
        <v>22620431.805884</v>
      </c>
      <c r="R7" s="16">
        <v>5966760.1413383996</v>
      </c>
      <c r="S7" s="16">
        <v>3080052.496512</v>
      </c>
      <c r="T7" s="16"/>
    </row>
    <row r="8" spans="1:20">
      <c r="A8" s="17"/>
    </row>
    <row r="9" spans="1:20">
      <c r="A9" s="17"/>
      <c r="O9" s="20" t="s">
        <v>10</v>
      </c>
      <c r="P9" s="21"/>
      <c r="Q9" s="21"/>
      <c r="R9" s="21"/>
      <c r="S9" s="21"/>
    </row>
    <row r="10" spans="1:20">
      <c r="P10" s="22">
        <v>2018</v>
      </c>
      <c r="Q10" s="22">
        <v>2019</v>
      </c>
      <c r="R10" s="22">
        <v>2020</v>
      </c>
      <c r="T10" s="16"/>
    </row>
    <row r="11" spans="1:20">
      <c r="O11" s="7" t="s">
        <v>4</v>
      </c>
      <c r="P11" s="18">
        <v>73100</v>
      </c>
      <c r="Q11" s="18">
        <v>76700</v>
      </c>
      <c r="R11" s="18">
        <v>75400</v>
      </c>
      <c r="T11" s="16"/>
    </row>
    <row r="12" spans="1:20">
      <c r="O12" s="7" t="s">
        <v>5</v>
      </c>
      <c r="P12" s="19">
        <v>57016</v>
      </c>
      <c r="Q12" s="19">
        <v>65194</v>
      </c>
      <c r="R12" s="19">
        <v>62285</v>
      </c>
    </row>
    <row r="13" spans="1:20">
      <c r="O13" s="7" t="s">
        <v>6</v>
      </c>
      <c r="P13" s="19">
        <v>12894</v>
      </c>
      <c r="Q13" s="19">
        <v>14332</v>
      </c>
      <c r="R13" s="19">
        <v>14374</v>
      </c>
    </row>
    <row r="14" spans="1:20">
      <c r="O14" s="7" t="s">
        <v>7</v>
      </c>
      <c r="P14" s="19">
        <v>8823</v>
      </c>
      <c r="Q14" s="19">
        <v>9039</v>
      </c>
      <c r="R14" s="19">
        <v>8904</v>
      </c>
    </row>
    <row r="16" spans="1:20">
      <c r="O16" s="23" t="s">
        <v>11</v>
      </c>
      <c r="P16" s="9"/>
      <c r="Q16" s="9"/>
      <c r="R16" s="9"/>
      <c r="S16" s="9"/>
      <c r="T16" s="9"/>
    </row>
    <row r="17" spans="2:20">
      <c r="B17" s="20" t="s">
        <v>11</v>
      </c>
      <c r="C17" s="20"/>
      <c r="D17" s="20"/>
      <c r="E17" s="20"/>
      <c r="F17" s="20"/>
      <c r="G17" s="24"/>
      <c r="H17" s="20" t="s">
        <v>12</v>
      </c>
      <c r="I17" s="20"/>
      <c r="J17" s="20"/>
      <c r="K17" s="20"/>
      <c r="L17" s="20"/>
      <c r="P17">
        <v>2018</v>
      </c>
      <c r="Q17">
        <v>2019</v>
      </c>
      <c r="R17">
        <v>2020</v>
      </c>
      <c r="S17" s="9"/>
      <c r="T17" s="9"/>
    </row>
    <row r="18" spans="2:20">
      <c r="O18" t="s">
        <v>4</v>
      </c>
      <c r="P18" s="16">
        <v>4445000</v>
      </c>
      <c r="Q18" s="16">
        <v>4772000</v>
      </c>
      <c r="R18" s="16">
        <v>3115000</v>
      </c>
      <c r="S18" s="9"/>
      <c r="T18" s="9"/>
    </row>
    <row r="19" spans="2:20">
      <c r="O19" t="s">
        <v>5</v>
      </c>
      <c r="P19" s="16">
        <v>2829799.0353599996</v>
      </c>
      <c r="Q19" s="16">
        <v>2992275.8301149998</v>
      </c>
      <c r="R19" s="16">
        <v>981465.01637099998</v>
      </c>
      <c r="S19" s="9"/>
      <c r="T19" s="9"/>
    </row>
    <row r="20" spans="2:20">
      <c r="O20" t="s">
        <v>6</v>
      </c>
      <c r="P20" s="16">
        <v>397682.34983999998</v>
      </c>
      <c r="Q20" s="16">
        <v>488189.8576555</v>
      </c>
      <c r="R20" s="16">
        <v>238013.81581679996</v>
      </c>
      <c r="S20" s="9"/>
      <c r="T20" s="9"/>
    </row>
    <row r="21" spans="2:20">
      <c r="O21" t="s">
        <v>7</v>
      </c>
      <c r="P21" s="16">
        <v>95216.396395999996</v>
      </c>
      <c r="Q21" s="16">
        <v>97537.196068000005</v>
      </c>
      <c r="R21" s="16">
        <v>-37019.141365999996</v>
      </c>
      <c r="S21" s="9"/>
      <c r="T21" s="9"/>
    </row>
    <row r="22" spans="2:20">
      <c r="S22" s="9"/>
      <c r="T22" s="9"/>
    </row>
    <row r="23" spans="2:20">
      <c r="O23" s="7" t="s">
        <v>12</v>
      </c>
    </row>
    <row r="24" spans="2:20">
      <c r="P24" s="7" t="s">
        <v>4</v>
      </c>
      <c r="Q24" s="7" t="s">
        <v>5</v>
      </c>
    </row>
    <row r="25" spans="2:20">
      <c r="O25" s="7" t="s">
        <v>13</v>
      </c>
      <c r="P25" s="25">
        <v>0.495</v>
      </c>
      <c r="Q25" s="26">
        <v>0.55000000000000004</v>
      </c>
    </row>
    <row r="26" spans="2:20">
      <c r="O26" s="7" t="s">
        <v>14</v>
      </c>
      <c r="P26" s="25">
        <v>0.505</v>
      </c>
      <c r="Q26" s="26">
        <v>0.45</v>
      </c>
    </row>
    <row r="28" spans="2:20">
      <c r="O28" s="7" t="s">
        <v>15</v>
      </c>
    </row>
    <row r="29" spans="2:20">
      <c r="P29" s="7" t="s">
        <v>16</v>
      </c>
    </row>
    <row r="30" spans="2:20">
      <c r="B30" s="20" t="s">
        <v>17</v>
      </c>
      <c r="C30" s="20"/>
      <c r="D30" s="20"/>
      <c r="E30" s="20"/>
      <c r="F30" s="20"/>
      <c r="H30" s="20" t="s">
        <v>19</v>
      </c>
      <c r="I30" s="20"/>
      <c r="J30" s="20"/>
      <c r="K30" s="20"/>
      <c r="L30" s="20"/>
      <c r="O30" s="7" t="s">
        <v>4</v>
      </c>
      <c r="P30" s="15">
        <v>98.58</v>
      </c>
    </row>
    <row r="31" spans="2:20">
      <c r="O31" s="7" t="s">
        <v>5</v>
      </c>
      <c r="P31" s="15">
        <v>364.99748832809996</v>
      </c>
    </row>
    <row r="32" spans="2:20">
      <c r="O32" s="7" t="s">
        <v>6</v>
      </c>
      <c r="P32" s="15">
        <v>113.11368956847998</v>
      </c>
    </row>
    <row r="33" spans="2:16">
      <c r="O33" s="7" t="s">
        <v>7</v>
      </c>
      <c r="P33" s="15">
        <v>19.116900000000001</v>
      </c>
    </row>
    <row r="34" spans="2:16">
      <c r="O34" s="7" t="s">
        <v>2</v>
      </c>
      <c r="P34" s="15">
        <f>SUM(P30:P33)</f>
        <v>595.8080778965799</v>
      </c>
    </row>
    <row r="36" spans="2:16">
      <c r="O36" s="60" t="s">
        <v>18</v>
      </c>
      <c r="P36" s="60"/>
    </row>
    <row r="37" spans="2:16" ht="16.5">
      <c r="O37" s="7"/>
      <c r="P37" s="7" t="s">
        <v>20</v>
      </c>
    </row>
    <row r="38" spans="2:16">
      <c r="O38" s="7" t="s">
        <v>4</v>
      </c>
      <c r="P38">
        <v>7.33</v>
      </c>
    </row>
    <row r="39" spans="2:16">
      <c r="O39" s="7" t="s">
        <v>5</v>
      </c>
      <c r="P39">
        <v>13.6</v>
      </c>
    </row>
    <row r="40" spans="2:16">
      <c r="O40" s="7" t="s">
        <v>6</v>
      </c>
      <c r="P40">
        <v>7.82</v>
      </c>
    </row>
    <row r="41" spans="2:16">
      <c r="B41" s="20" t="s">
        <v>36</v>
      </c>
      <c r="C41" s="20"/>
      <c r="D41" s="20"/>
      <c r="E41" s="20"/>
      <c r="F41" s="20"/>
      <c r="G41" s="21"/>
      <c r="H41" s="20"/>
      <c r="I41" s="20"/>
      <c r="J41" s="20"/>
      <c r="K41" s="20"/>
      <c r="L41" s="20"/>
    </row>
    <row r="42" spans="2:16">
      <c r="O42" s="27" t="s">
        <v>22</v>
      </c>
      <c r="P42" s="16">
        <v>15093000</v>
      </c>
    </row>
    <row r="43" spans="2:16">
      <c r="B43" s="28"/>
      <c r="C43" s="28"/>
      <c r="D43" s="14"/>
      <c r="O43" s="27" t="s">
        <v>23</v>
      </c>
      <c r="P43" s="16">
        <v>11456000</v>
      </c>
    </row>
    <row r="44" spans="2:16" ht="15.5">
      <c r="K44" s="4"/>
      <c r="O44" s="27" t="s">
        <v>24</v>
      </c>
      <c r="P44" s="16">
        <v>8290000</v>
      </c>
    </row>
    <row r="45" spans="2:16" ht="15.5">
      <c r="K45" s="2"/>
      <c r="O45" s="27" t="s">
        <v>25</v>
      </c>
      <c r="P45" s="16">
        <v>5343000</v>
      </c>
    </row>
    <row r="46" spans="2:16">
      <c r="O46" s="27" t="s">
        <v>26</v>
      </c>
      <c r="P46" s="16">
        <v>2205000</v>
      </c>
    </row>
    <row r="47" spans="2:16">
      <c r="O47" s="27" t="s">
        <v>27</v>
      </c>
      <c r="P47" s="16">
        <v>2086000</v>
      </c>
    </row>
    <row r="48" spans="2:16">
      <c r="O48" s="27" t="s">
        <v>28</v>
      </c>
      <c r="P48" s="16">
        <v>40000</v>
      </c>
    </row>
    <row r="49" spans="2:20" ht="15" thickBot="1">
      <c r="O49" s="27" t="s">
        <v>29</v>
      </c>
      <c r="P49" s="16">
        <v>25000</v>
      </c>
    </row>
    <row r="50" spans="2:20" ht="14.5" customHeight="1">
      <c r="B50" s="54" t="s">
        <v>58</v>
      </c>
      <c r="C50" s="55"/>
      <c r="D50" s="55"/>
      <c r="E50" s="55"/>
      <c r="F50" s="55"/>
      <c r="G50" s="55"/>
      <c r="H50" s="55"/>
      <c r="I50" s="55"/>
      <c r="J50" s="55"/>
      <c r="K50" s="55"/>
      <c r="L50" s="55"/>
      <c r="M50" s="56"/>
    </row>
    <row r="51" spans="2:20">
      <c r="B51" s="57"/>
      <c r="C51" s="58"/>
      <c r="D51" s="58"/>
      <c r="E51" s="58"/>
      <c r="F51" s="58"/>
      <c r="G51" s="58"/>
      <c r="H51" s="58"/>
      <c r="I51" s="58"/>
      <c r="J51" s="58"/>
      <c r="K51" s="58"/>
      <c r="L51" s="58"/>
      <c r="M51" s="59"/>
      <c r="P51">
        <v>2016</v>
      </c>
      <c r="Q51">
        <v>2017</v>
      </c>
      <c r="R51">
        <v>2018</v>
      </c>
      <c r="S51">
        <v>2019</v>
      </c>
      <c r="T51">
        <v>2020</v>
      </c>
    </row>
    <row r="52" spans="2:20">
      <c r="B52" s="57"/>
      <c r="C52" s="58"/>
      <c r="D52" s="58"/>
      <c r="E52" s="58"/>
      <c r="F52" s="58"/>
      <c r="G52" s="58"/>
      <c r="H52" s="58"/>
      <c r="I52" s="58"/>
      <c r="J52" s="58"/>
      <c r="K52" s="58"/>
      <c r="L52" s="58"/>
      <c r="M52" s="59"/>
      <c r="O52" s="29" t="s">
        <v>35</v>
      </c>
      <c r="P52">
        <v>126.5</v>
      </c>
      <c r="Q52">
        <v>117.2</v>
      </c>
      <c r="R52">
        <v>109.3</v>
      </c>
      <c r="S52">
        <v>94.3</v>
      </c>
      <c r="T52">
        <v>88.2</v>
      </c>
    </row>
    <row r="53" spans="2:20">
      <c r="B53" s="57"/>
      <c r="C53" s="58"/>
      <c r="D53" s="58"/>
      <c r="E53" s="58"/>
      <c r="F53" s="58"/>
      <c r="G53" s="58"/>
      <c r="H53" s="58"/>
      <c r="I53" s="58"/>
      <c r="J53" s="58"/>
      <c r="K53" s="58"/>
      <c r="L53" s="58"/>
      <c r="M53" s="59"/>
    </row>
    <row r="54" spans="2:20">
      <c r="B54" s="57"/>
      <c r="C54" s="58"/>
      <c r="D54" s="58"/>
      <c r="E54" s="58"/>
      <c r="F54" s="58"/>
      <c r="G54" s="58"/>
      <c r="H54" s="58"/>
      <c r="I54" s="58"/>
      <c r="J54" s="58"/>
      <c r="K54" s="58"/>
      <c r="L54" s="58"/>
      <c r="M54" s="59"/>
    </row>
    <row r="55" spans="2:20">
      <c r="B55" s="57"/>
      <c r="C55" s="58"/>
      <c r="D55" s="58"/>
      <c r="E55" s="58"/>
      <c r="F55" s="58"/>
      <c r="G55" s="58"/>
      <c r="H55" s="58"/>
      <c r="I55" s="58"/>
      <c r="J55" s="58"/>
      <c r="K55" s="58"/>
      <c r="L55" s="58"/>
      <c r="M55" s="59"/>
    </row>
    <row r="56" spans="2:20">
      <c r="B56" s="57"/>
      <c r="C56" s="58"/>
      <c r="D56" s="58"/>
      <c r="E56" s="58"/>
      <c r="F56" s="58"/>
      <c r="G56" s="58"/>
      <c r="H56" s="58"/>
      <c r="I56" s="58"/>
      <c r="J56" s="58"/>
      <c r="K56" s="58"/>
      <c r="L56" s="58"/>
      <c r="M56" s="59"/>
    </row>
    <row r="57" spans="2:20">
      <c r="B57" s="31"/>
      <c r="C57" s="32"/>
      <c r="D57" s="32"/>
      <c r="E57" s="41"/>
      <c r="F57" s="41"/>
      <c r="G57" s="32" t="s">
        <v>4</v>
      </c>
      <c r="H57" s="37"/>
      <c r="I57" s="32"/>
      <c r="J57" s="32"/>
      <c r="K57" s="32"/>
      <c r="L57" s="32"/>
      <c r="M57" s="33"/>
    </row>
    <row r="58" spans="2:20">
      <c r="B58" s="31"/>
      <c r="C58" s="32"/>
      <c r="D58" s="32"/>
      <c r="E58" s="41"/>
      <c r="F58" s="41"/>
      <c r="G58" s="32" t="s">
        <v>5</v>
      </c>
      <c r="H58" s="38"/>
      <c r="I58" s="32"/>
      <c r="J58" s="32"/>
      <c r="K58" s="32"/>
      <c r="L58" s="32"/>
      <c r="M58" s="33"/>
    </row>
    <row r="59" spans="2:20">
      <c r="B59" s="31"/>
      <c r="C59" s="32"/>
      <c r="D59" s="32"/>
      <c r="E59" s="41"/>
      <c r="F59" s="41"/>
      <c r="G59" s="32" t="s">
        <v>6</v>
      </c>
      <c r="H59" s="39"/>
      <c r="I59" s="32"/>
      <c r="J59" s="32"/>
      <c r="K59" s="32"/>
      <c r="L59" s="32"/>
      <c r="M59" s="33"/>
    </row>
    <row r="60" spans="2:20" ht="15" thickBot="1">
      <c r="B60" s="34"/>
      <c r="C60" s="35"/>
      <c r="D60" s="35"/>
      <c r="E60" s="42"/>
      <c r="F60" s="42"/>
      <c r="G60" s="35" t="s">
        <v>7</v>
      </c>
      <c r="H60" s="40"/>
      <c r="I60" s="35"/>
      <c r="J60" s="35"/>
      <c r="K60" s="35"/>
      <c r="L60" s="35"/>
      <c r="M60" s="36"/>
    </row>
  </sheetData>
  <mergeCells count="3">
    <mergeCell ref="B50:M56"/>
    <mergeCell ref="O3:S3"/>
    <mergeCell ref="O36:P36"/>
  </mergeCells>
  <printOptions horizontalCentered="1" verticalCentered="1"/>
  <pageMargins left="0.7" right="0.7" top="0.75" bottom="0.75" header="0.3" footer="0.3"/>
  <pageSetup paperSize="9" scale="61" orientation="portrait" r:id="rId1"/>
  <drawing r:id="rId2"/>
  <extLst>
    <ext xmlns:x14="http://schemas.microsoft.com/office/spreadsheetml/2009/9/main" uri="{05C60535-1F16-4fd2-B633-F4F36F0B64E0}">
      <x14:sparklineGroups xmlns:xm="http://schemas.microsoft.com/office/excel/2006/main">
        <x14:sparklineGroup type="column" displayEmptyCellsAs="gap" xr2:uid="{01B8BE9D-B532-43F2-9528-EB134337E694}">
          <x14:colorSeries rgb="FF376092"/>
          <x14:colorNegative rgb="FFD00000"/>
          <x14:colorAxis rgb="FF000000"/>
          <x14:colorMarkers rgb="FFD00000"/>
          <x14:colorFirst rgb="FFD00000"/>
          <x14:colorLast rgb="FFD00000"/>
          <x14:colorHigh rgb="FFD00000"/>
          <x14:colorLow rgb="FFD00000"/>
          <x14:sparklines>
            <x14:sparkline>
              <xm:sqref>E43</xm:sqref>
            </x14:sparkline>
          </x14:sparklines>
        </x14:sparklineGroup>
        <x14:sparklineGroup displayEmptyCellsAs="gap" markers="1" xr2:uid="{04DEAA57-52FD-476D-915A-3109AAF7EF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sqref>F43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E9D76-E48A-43D6-9B4F-D5D3439D1281}">
  <dimension ref="B4:T60"/>
  <sheetViews>
    <sheetView topLeftCell="A34" zoomScale="70" zoomScaleNormal="70" zoomScaleSheetLayoutView="115" workbookViewId="0">
      <selection activeCell="T29" sqref="T29"/>
    </sheetView>
  </sheetViews>
  <sheetFormatPr defaultColWidth="10.90625" defaultRowHeight="14.5"/>
  <cols>
    <col min="4" max="4" width="11.36328125" bestFit="1" customWidth="1"/>
    <col min="11" max="11" width="14.6328125" bestFit="1" customWidth="1"/>
    <col min="16" max="16" width="18.453125" bestFit="1" customWidth="1"/>
  </cols>
  <sheetData>
    <row r="4" spans="2:16">
      <c r="B4" s="20" t="s">
        <v>34</v>
      </c>
      <c r="C4" s="20"/>
      <c r="D4" s="20"/>
      <c r="E4" s="20"/>
      <c r="F4" s="20"/>
      <c r="H4" s="20" t="s">
        <v>33</v>
      </c>
      <c r="I4" s="20"/>
      <c r="J4" s="20"/>
      <c r="K4" s="20"/>
      <c r="L4" s="20"/>
      <c r="O4" s="60" t="s">
        <v>21</v>
      </c>
      <c r="P4" s="60"/>
    </row>
    <row r="5" spans="2:16">
      <c r="O5">
        <v>2016</v>
      </c>
      <c r="P5" s="16">
        <v>3760000</v>
      </c>
    </row>
    <row r="6" spans="2:16">
      <c r="O6">
        <v>2017</v>
      </c>
      <c r="P6" s="16">
        <v>4036296</v>
      </c>
    </row>
    <row r="7" spans="2:16">
      <c r="O7">
        <v>2018</v>
      </c>
      <c r="P7" s="16">
        <v>3933000</v>
      </c>
    </row>
    <row r="8" spans="2:16">
      <c r="O8">
        <v>2019</v>
      </c>
      <c r="P8" s="16">
        <v>4029000</v>
      </c>
    </row>
    <row r="9" spans="2:16">
      <c r="O9">
        <v>2020</v>
      </c>
      <c r="P9" s="16">
        <v>2936900</v>
      </c>
    </row>
    <row r="11" spans="2:16">
      <c r="O11" s="60" t="s">
        <v>8</v>
      </c>
      <c r="P11" s="60"/>
    </row>
    <row r="12" spans="2:16">
      <c r="O12" s="7" t="s">
        <v>30</v>
      </c>
      <c r="P12" s="16">
        <v>24947000</v>
      </c>
    </row>
    <row r="13" spans="2:16">
      <c r="O13" s="7" t="s">
        <v>31</v>
      </c>
      <c r="P13" s="16">
        <v>11042000</v>
      </c>
    </row>
    <row r="14" spans="2:16">
      <c r="O14" s="7" t="s">
        <v>32</v>
      </c>
      <c r="P14" s="16">
        <v>1305000</v>
      </c>
    </row>
    <row r="15" spans="2:16">
      <c r="O15" s="7" t="s">
        <v>0</v>
      </c>
      <c r="P15" s="16">
        <v>109000</v>
      </c>
    </row>
    <row r="17" spans="2:20">
      <c r="B17" s="20" t="s">
        <v>39</v>
      </c>
      <c r="C17" s="20"/>
      <c r="D17" s="20"/>
      <c r="E17" s="20"/>
      <c r="F17" s="20"/>
      <c r="G17" s="21"/>
      <c r="H17" s="20"/>
      <c r="I17" s="20"/>
      <c r="J17" s="20"/>
      <c r="K17" s="20"/>
      <c r="L17" s="20"/>
      <c r="O17" s="60" t="s">
        <v>39</v>
      </c>
      <c r="P17" s="60"/>
      <c r="Q17" s="60"/>
      <c r="R17" s="60"/>
      <c r="S17" s="60"/>
      <c r="T17" s="60"/>
    </row>
    <row r="18" spans="2:20">
      <c r="P18" s="7">
        <v>2016</v>
      </c>
      <c r="Q18" s="7">
        <v>2017</v>
      </c>
      <c r="R18" s="7">
        <v>2018</v>
      </c>
      <c r="S18" s="7">
        <v>2019</v>
      </c>
      <c r="T18" s="7">
        <v>2020</v>
      </c>
    </row>
    <row r="19" spans="2:20">
      <c r="O19" s="7" t="s">
        <v>37</v>
      </c>
      <c r="P19" s="30">
        <v>0.68</v>
      </c>
      <c r="Q19" s="30">
        <v>0.71</v>
      </c>
      <c r="R19" s="30">
        <v>0.73</v>
      </c>
      <c r="S19" s="30">
        <v>0.69</v>
      </c>
      <c r="T19" s="30">
        <v>0.6</v>
      </c>
    </row>
    <row r="20" spans="2:20">
      <c r="B20" s="7"/>
      <c r="O20" s="7"/>
      <c r="P20" s="7">
        <v>2016</v>
      </c>
      <c r="Q20" s="7">
        <v>2017</v>
      </c>
      <c r="R20" s="7">
        <v>2018</v>
      </c>
      <c r="S20" s="7">
        <v>2019</v>
      </c>
      <c r="T20" s="7">
        <v>2020</v>
      </c>
    </row>
    <row r="21" spans="2:20">
      <c r="O21" s="7" t="s">
        <v>38</v>
      </c>
      <c r="P21">
        <v>7.19</v>
      </c>
      <c r="Q21">
        <v>7.15</v>
      </c>
      <c r="R21">
        <v>7.45</v>
      </c>
      <c r="S21">
        <v>7.33</v>
      </c>
      <c r="T21">
        <v>7.33</v>
      </c>
    </row>
    <row r="23" spans="2:20">
      <c r="O23" s="7" t="s">
        <v>43</v>
      </c>
    </row>
    <row r="24" spans="2:20">
      <c r="O24" s="7" t="s">
        <v>40</v>
      </c>
      <c r="P24" s="43">
        <v>0.21</v>
      </c>
    </row>
    <row r="25" spans="2:20">
      <c r="O25" s="7" t="s">
        <v>41</v>
      </c>
      <c r="P25" s="26">
        <v>0.79</v>
      </c>
    </row>
    <row r="26" spans="2:20">
      <c r="O26" s="7"/>
      <c r="P26" s="26"/>
    </row>
    <row r="27" spans="2:20">
      <c r="O27" s="7" t="s">
        <v>44</v>
      </c>
    </row>
    <row r="28" spans="2:20">
      <c r="P28" s="7">
        <v>2016</v>
      </c>
      <c r="Q28" s="7">
        <v>2017</v>
      </c>
      <c r="R28" s="7">
        <v>2018</v>
      </c>
      <c r="S28" s="7">
        <v>2019</v>
      </c>
      <c r="T28" s="7">
        <v>2020</v>
      </c>
    </row>
    <row r="29" spans="2:20">
      <c r="O29" s="7" t="s">
        <v>45</v>
      </c>
      <c r="P29" s="25">
        <v>6.6000000000000003E-2</v>
      </c>
      <c r="Q29" s="25">
        <v>3.9E-2</v>
      </c>
      <c r="R29" s="25">
        <v>1.7999999999999999E-2</v>
      </c>
      <c r="S29" s="25">
        <v>1E-3</v>
      </c>
      <c r="T29" s="25">
        <v>1E-3</v>
      </c>
    </row>
    <row r="30" spans="2:20">
      <c r="B30" s="20" t="s">
        <v>47</v>
      </c>
      <c r="C30" s="20"/>
      <c r="D30" s="20"/>
      <c r="E30" s="20"/>
      <c r="F30" s="20"/>
      <c r="G30" s="21"/>
      <c r="H30" s="21"/>
      <c r="I30" s="20"/>
      <c r="J30" s="20"/>
      <c r="K30" s="20"/>
      <c r="L30" s="20"/>
      <c r="P30" s="7">
        <v>2016</v>
      </c>
      <c r="Q30" s="7">
        <v>2017</v>
      </c>
      <c r="R30" s="7">
        <v>2018</v>
      </c>
      <c r="S30" s="7">
        <v>2019</v>
      </c>
      <c r="T30" s="7">
        <v>2020</v>
      </c>
    </row>
    <row r="31" spans="2:20">
      <c r="O31" s="7" t="s">
        <v>46</v>
      </c>
      <c r="P31" s="26">
        <v>0.88</v>
      </c>
      <c r="Q31" s="26">
        <v>0.87</v>
      </c>
      <c r="R31" s="26">
        <v>0.88</v>
      </c>
      <c r="S31" s="26">
        <v>0.89</v>
      </c>
      <c r="T31" s="26">
        <v>0.88</v>
      </c>
    </row>
    <row r="32" spans="2:20">
      <c r="B32" s="62" t="s">
        <v>45</v>
      </c>
      <c r="C32" s="62"/>
      <c r="D32" s="62"/>
      <c r="E32" s="62"/>
      <c r="F32" s="62"/>
      <c r="H32" s="62" t="s">
        <v>46</v>
      </c>
      <c r="I32" s="62"/>
      <c r="J32" s="62"/>
      <c r="K32" s="62"/>
      <c r="L32" s="62"/>
    </row>
    <row r="33" spans="2:12" ht="14.5" customHeight="1">
      <c r="I33" s="45"/>
      <c r="J33" s="45"/>
      <c r="K33" s="45"/>
      <c r="L33" s="45"/>
    </row>
    <row r="34" spans="2:12">
      <c r="B34" s="44"/>
      <c r="H34" s="44"/>
      <c r="I34" s="45"/>
      <c r="J34" s="45"/>
      <c r="K34" s="45"/>
      <c r="L34" s="45"/>
    </row>
    <row r="35" spans="2:12">
      <c r="B35" s="44"/>
      <c r="H35" s="44"/>
      <c r="I35" s="45"/>
      <c r="J35" s="45"/>
      <c r="K35" s="45"/>
      <c r="L35" s="45"/>
    </row>
    <row r="36" spans="2:12">
      <c r="B36" s="44"/>
      <c r="H36" s="44"/>
      <c r="I36" s="45"/>
      <c r="J36" s="45"/>
      <c r="K36" s="45"/>
      <c r="L36" s="45"/>
    </row>
    <row r="37" spans="2:12">
      <c r="B37" s="44"/>
      <c r="H37" s="44"/>
      <c r="I37" s="45"/>
      <c r="J37" s="45"/>
      <c r="K37" s="45"/>
      <c r="L37" s="45"/>
    </row>
    <row r="41" spans="2:12" ht="14.5" customHeight="1">
      <c r="I41" s="45"/>
      <c r="J41" s="45"/>
      <c r="K41" s="45"/>
      <c r="L41" s="45"/>
    </row>
    <row r="42" spans="2:12">
      <c r="I42" s="45"/>
      <c r="J42" s="45"/>
      <c r="K42" s="45"/>
      <c r="L42" s="45"/>
    </row>
    <row r="43" spans="2:12">
      <c r="B43" s="20" t="s">
        <v>48</v>
      </c>
      <c r="C43" s="21"/>
      <c r="D43" s="21"/>
      <c r="E43" s="21"/>
      <c r="F43" s="21"/>
      <c r="G43" s="21"/>
      <c r="H43" s="24"/>
      <c r="I43" s="49" t="s">
        <v>56</v>
      </c>
      <c r="J43" s="47"/>
      <c r="K43" s="47"/>
      <c r="L43" s="47"/>
    </row>
    <row r="44" spans="2:12">
      <c r="I44" s="45"/>
      <c r="J44" s="45"/>
      <c r="L44" s="45"/>
    </row>
    <row r="45" spans="2:12">
      <c r="I45" s="45"/>
      <c r="J45" s="45"/>
      <c r="K45" s="61">
        <v>16241000</v>
      </c>
      <c r="L45" s="45"/>
    </row>
    <row r="46" spans="2:12">
      <c r="K46" s="61"/>
    </row>
    <row r="47" spans="2:12">
      <c r="K47" s="61"/>
    </row>
    <row r="48" spans="2:12">
      <c r="K48" s="61"/>
    </row>
    <row r="49" spans="2:13" ht="15" thickBot="1"/>
    <row r="50" spans="2:13">
      <c r="B50" s="54" t="s">
        <v>49</v>
      </c>
      <c r="C50" s="55"/>
      <c r="D50" s="55"/>
      <c r="E50" s="55"/>
      <c r="F50" s="55"/>
      <c r="G50" s="55"/>
      <c r="H50" s="55"/>
      <c r="I50" s="55"/>
      <c r="J50" s="55"/>
      <c r="K50" s="55"/>
      <c r="L50" s="55"/>
      <c r="M50" s="56"/>
    </row>
    <row r="51" spans="2:13">
      <c r="B51" s="57"/>
      <c r="C51" s="58"/>
      <c r="D51" s="58"/>
      <c r="E51" s="58"/>
      <c r="F51" s="58"/>
      <c r="G51" s="58"/>
      <c r="H51" s="58"/>
      <c r="I51" s="58"/>
      <c r="J51" s="58"/>
      <c r="K51" s="58"/>
      <c r="L51" s="58"/>
      <c r="M51" s="59"/>
    </row>
    <row r="52" spans="2:13">
      <c r="B52" s="57"/>
      <c r="C52" s="58"/>
      <c r="D52" s="58"/>
      <c r="E52" s="58"/>
      <c r="F52" s="58"/>
      <c r="G52" s="58"/>
      <c r="H52" s="58"/>
      <c r="I52" s="58"/>
      <c r="J52" s="58"/>
      <c r="K52" s="58"/>
      <c r="L52" s="58"/>
      <c r="M52" s="59"/>
    </row>
    <row r="53" spans="2:13">
      <c r="B53" s="57"/>
      <c r="C53" s="58"/>
      <c r="D53" s="58"/>
      <c r="E53" s="58"/>
      <c r="F53" s="58"/>
      <c r="G53" s="58"/>
      <c r="H53" s="58"/>
      <c r="I53" s="58"/>
      <c r="J53" s="58"/>
      <c r="K53" s="58"/>
      <c r="L53" s="58"/>
      <c r="M53" s="59"/>
    </row>
    <row r="54" spans="2:13">
      <c r="B54" s="57"/>
      <c r="C54" s="58"/>
      <c r="D54" s="58"/>
      <c r="E54" s="58"/>
      <c r="F54" s="58"/>
      <c r="G54" s="58"/>
      <c r="H54" s="58"/>
      <c r="I54" s="58"/>
      <c r="J54" s="58"/>
      <c r="K54" s="58"/>
      <c r="L54" s="58"/>
      <c r="M54" s="59"/>
    </row>
    <row r="55" spans="2:13">
      <c r="B55" s="57"/>
      <c r="C55" s="58"/>
      <c r="D55" s="58"/>
      <c r="E55" s="58"/>
      <c r="F55" s="58"/>
      <c r="G55" s="58"/>
      <c r="H55" s="58"/>
      <c r="I55" s="58"/>
      <c r="J55" s="58"/>
      <c r="K55" s="58"/>
      <c r="L55" s="58"/>
      <c r="M55" s="59"/>
    </row>
    <row r="56" spans="2:13">
      <c r="B56" s="8"/>
      <c r="C56" s="9"/>
      <c r="D56" s="9"/>
      <c r="E56" s="9"/>
      <c r="F56" s="9"/>
      <c r="G56" s="9"/>
      <c r="H56" s="9"/>
      <c r="I56" s="9"/>
      <c r="J56" s="9"/>
      <c r="K56" s="9"/>
      <c r="L56" s="9"/>
      <c r="M56" s="10"/>
    </row>
    <row r="57" spans="2:13">
      <c r="B57" s="8"/>
      <c r="C57" s="9"/>
      <c r="D57" s="9"/>
      <c r="E57" s="9"/>
      <c r="F57" s="9"/>
      <c r="G57" s="32" t="s">
        <v>4</v>
      </c>
      <c r="H57" s="37"/>
      <c r="I57" s="9"/>
      <c r="J57" s="9"/>
      <c r="K57" s="9"/>
      <c r="L57" s="9"/>
      <c r="M57" s="10"/>
    </row>
    <row r="58" spans="2:13">
      <c r="B58" s="8"/>
      <c r="C58" s="9"/>
      <c r="D58" s="9"/>
      <c r="E58" s="9"/>
      <c r="F58" s="9"/>
      <c r="G58" s="32" t="s">
        <v>5</v>
      </c>
      <c r="H58" s="38"/>
      <c r="I58" s="9"/>
      <c r="J58" s="9"/>
      <c r="K58" s="9"/>
      <c r="L58" s="9"/>
      <c r="M58" s="10"/>
    </row>
    <row r="59" spans="2:13">
      <c r="B59" s="8"/>
      <c r="C59" s="9"/>
      <c r="D59" s="9"/>
      <c r="E59" s="9"/>
      <c r="F59" s="9"/>
      <c r="G59" s="32" t="s">
        <v>6</v>
      </c>
      <c r="H59" s="39"/>
      <c r="I59" s="9"/>
      <c r="J59" s="9"/>
      <c r="K59" s="9"/>
      <c r="L59" s="9"/>
      <c r="M59" s="10"/>
    </row>
    <row r="60" spans="2:13" ht="15" thickBot="1">
      <c r="B60" s="11"/>
      <c r="C60" s="12"/>
      <c r="D60" s="12"/>
      <c r="E60" s="12"/>
      <c r="F60" s="12"/>
      <c r="G60" s="35" t="s">
        <v>7</v>
      </c>
      <c r="H60" s="40"/>
      <c r="I60" s="12"/>
      <c r="J60" s="12"/>
      <c r="K60" s="12"/>
      <c r="L60" s="12"/>
      <c r="M60" s="13"/>
    </row>
  </sheetData>
  <mergeCells count="7">
    <mergeCell ref="B50:M55"/>
    <mergeCell ref="K45:K48"/>
    <mergeCell ref="B32:F32"/>
    <mergeCell ref="H32:L32"/>
    <mergeCell ref="O4:P4"/>
    <mergeCell ref="O11:P11"/>
    <mergeCell ref="O17:T17"/>
  </mergeCells>
  <printOptions horizontalCentered="1" verticalCentered="1"/>
  <pageMargins left="0.7" right="0.7" top="0.75" bottom="0.75" header="0.3" footer="0.3"/>
  <pageSetup scale="60" orientation="portrait" r:id="rId1"/>
  <drawing r:id="rId2"/>
  <extLst>
    <ext xmlns:x14="http://schemas.microsoft.com/office/spreadsheetml/2009/9/main" uri="{05C60535-1F16-4fd2-B633-F4F36F0B64E0}">
      <x14:sparklineGroups xmlns:xm="http://schemas.microsoft.com/office/excel/2006/main">
        <x14:sparklineGroup displayEmptyCellsAs="gap" markers="1" xr2:uid="{1D08451D-BA2C-4252-A95E-CC7478247F47}">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sqref>F43</xm:sqref>
            </x14:sparkline>
          </x14:sparklines>
        </x14:sparklineGroup>
        <x14:sparklineGroup type="column" displayEmptyCellsAs="gap" xr2:uid="{31305A32-6844-4E50-B659-D097EEB434F5}">
          <x14:colorSeries rgb="FF376092"/>
          <x14:colorNegative rgb="FFD00000"/>
          <x14:colorAxis rgb="FF000000"/>
          <x14:colorMarkers rgb="FFD00000"/>
          <x14:colorFirst rgb="FFD00000"/>
          <x14:colorLast rgb="FFD00000"/>
          <x14:colorHigh rgb="FFD00000"/>
          <x14:colorLow rgb="FFD00000"/>
          <x14:sparklines>
            <x14:sparkline>
              <xm:sqref>E43</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7DBC2-EF88-4CEF-B984-133AB997D89B}">
  <dimension ref="A1:M60"/>
  <sheetViews>
    <sheetView zoomScaleNormal="100" workbookViewId="0">
      <selection activeCell="F3" sqref="F3"/>
    </sheetView>
  </sheetViews>
  <sheetFormatPr defaultRowHeight="14.5"/>
  <cols>
    <col min="1" max="16384" width="8.7265625" style="27"/>
  </cols>
  <sheetData>
    <row r="1" spans="1:13">
      <c r="A1" s="48"/>
      <c r="B1" s="48"/>
      <c r="C1" s="48"/>
      <c r="D1" s="48"/>
      <c r="E1" s="48"/>
      <c r="F1" s="48"/>
      <c r="G1" s="48"/>
      <c r="H1" s="48"/>
      <c r="I1" s="48"/>
      <c r="J1" s="48"/>
      <c r="K1" s="48"/>
      <c r="L1" s="48"/>
      <c r="M1" s="48"/>
    </row>
    <row r="2" spans="1:13" ht="15.5">
      <c r="A2" s="50"/>
      <c r="B2" s="50"/>
      <c r="C2" s="50"/>
      <c r="D2" s="50"/>
      <c r="E2" s="50"/>
      <c r="F2" s="51" t="s">
        <v>61</v>
      </c>
      <c r="G2" s="51"/>
      <c r="H2" s="51"/>
      <c r="I2" s="50"/>
      <c r="J2" s="50"/>
      <c r="K2" s="50"/>
      <c r="L2" s="50"/>
      <c r="M2" s="50"/>
    </row>
    <row r="3" spans="1:13" ht="43.5">
      <c r="A3" s="46" t="s">
        <v>42</v>
      </c>
      <c r="B3" s="46"/>
      <c r="C3" s="46"/>
      <c r="D3" s="46"/>
      <c r="E3" s="46"/>
      <c r="F3" s="46"/>
      <c r="G3" s="46"/>
      <c r="H3" s="46"/>
      <c r="I3" s="46"/>
      <c r="J3" s="46"/>
      <c r="K3" s="46"/>
      <c r="L3" s="46"/>
      <c r="M3" s="46"/>
    </row>
    <row r="4" spans="1:13" ht="43.5">
      <c r="A4" s="46" t="s">
        <v>50</v>
      </c>
      <c r="B4" s="46"/>
      <c r="C4" s="46"/>
      <c r="D4" s="46"/>
      <c r="E4" s="46"/>
      <c r="F4" s="46"/>
      <c r="G4" s="46"/>
      <c r="H4" s="46"/>
      <c r="I4" s="46"/>
      <c r="J4" s="46"/>
      <c r="K4" s="46"/>
      <c r="L4" s="46"/>
      <c r="M4" s="46"/>
    </row>
    <row r="5" spans="1:13" ht="29">
      <c r="A5" s="46" t="s">
        <v>51</v>
      </c>
      <c r="B5" s="46"/>
      <c r="C5" s="46"/>
      <c r="D5" s="46"/>
      <c r="E5" s="46"/>
      <c r="F5" s="46"/>
      <c r="G5" s="46"/>
      <c r="H5" s="46"/>
      <c r="I5" s="46"/>
      <c r="J5" s="46"/>
      <c r="K5" s="46"/>
      <c r="L5" s="46"/>
      <c r="M5" s="46"/>
    </row>
    <row r="6" spans="1:13" ht="43.5">
      <c r="A6" s="46" t="s">
        <v>52</v>
      </c>
      <c r="B6" s="48"/>
      <c r="C6" s="48"/>
      <c r="D6" s="48"/>
      <c r="E6" s="48"/>
      <c r="F6" s="48"/>
      <c r="G6" s="48"/>
      <c r="H6" s="48"/>
      <c r="I6" s="48"/>
      <c r="J6" s="48"/>
      <c r="K6" s="48"/>
      <c r="L6" s="48"/>
      <c r="M6" s="48"/>
    </row>
    <row r="7" spans="1:13" ht="43.5">
      <c r="A7" s="46" t="s">
        <v>53</v>
      </c>
      <c r="B7" s="48"/>
      <c r="C7" s="48"/>
      <c r="D7" s="48"/>
      <c r="E7" s="48"/>
      <c r="F7" s="48"/>
      <c r="G7" s="48"/>
      <c r="H7" s="48"/>
      <c r="I7" s="48"/>
      <c r="J7" s="48"/>
      <c r="K7" s="48"/>
      <c r="L7" s="48"/>
      <c r="M7" s="48"/>
    </row>
    <row r="8" spans="1:13" ht="43.5">
      <c r="A8" s="46" t="s">
        <v>54</v>
      </c>
      <c r="B8" s="48"/>
      <c r="C8" s="48"/>
      <c r="D8" s="48"/>
      <c r="E8" s="48"/>
      <c r="F8" s="48"/>
      <c r="G8" s="48"/>
      <c r="H8" s="48"/>
      <c r="I8" s="48"/>
      <c r="J8" s="48"/>
      <c r="K8" s="48"/>
      <c r="L8" s="48"/>
      <c r="M8" s="48"/>
    </row>
    <row r="9" spans="1:13">
      <c r="A9" s="46" t="s">
        <v>55</v>
      </c>
      <c r="B9" s="48"/>
      <c r="C9" s="48"/>
      <c r="D9" s="48"/>
      <c r="E9" s="48"/>
      <c r="F9" s="48"/>
      <c r="G9" s="48"/>
      <c r="H9" s="48"/>
      <c r="I9" s="48"/>
      <c r="J9" s="48"/>
      <c r="K9" s="48"/>
      <c r="L9" s="48"/>
      <c r="M9" s="48"/>
    </row>
    <row r="10" spans="1:13" ht="29">
      <c r="A10" s="46" t="s">
        <v>59</v>
      </c>
      <c r="B10" s="46"/>
      <c r="C10" s="46"/>
      <c r="D10" s="46"/>
      <c r="E10" s="46"/>
      <c r="F10" s="46"/>
      <c r="G10" s="46"/>
      <c r="H10" s="46"/>
      <c r="I10" s="46"/>
      <c r="J10" s="46"/>
      <c r="K10" s="46"/>
      <c r="L10" s="46"/>
      <c r="M10" s="46"/>
    </row>
    <row r="11" spans="1:13" ht="29">
      <c r="A11" s="46" t="s">
        <v>60</v>
      </c>
      <c r="B11" s="48"/>
      <c r="C11" s="48"/>
      <c r="D11" s="48"/>
      <c r="E11" s="48"/>
      <c r="F11" s="48"/>
      <c r="G11" s="48"/>
      <c r="H11" s="48"/>
      <c r="I11" s="48"/>
      <c r="J11" s="48"/>
      <c r="K11" s="48"/>
      <c r="L11" s="48"/>
      <c r="M11" s="48"/>
    </row>
    <row r="12" spans="1:13">
      <c r="A12" s="48"/>
      <c r="B12" s="48"/>
      <c r="C12" s="48"/>
      <c r="D12" s="48"/>
      <c r="E12" s="48"/>
      <c r="F12" s="48"/>
      <c r="G12" s="48"/>
      <c r="H12" s="48"/>
      <c r="I12" s="48"/>
      <c r="J12" s="48"/>
      <c r="K12" s="48"/>
      <c r="L12" s="48"/>
      <c r="M12" s="48"/>
    </row>
    <row r="13" spans="1:13">
      <c r="A13" s="48"/>
      <c r="B13" s="48"/>
      <c r="C13" s="48"/>
      <c r="D13" s="48"/>
      <c r="E13" s="48"/>
      <c r="F13" s="48"/>
      <c r="G13" s="48"/>
      <c r="H13" s="48"/>
      <c r="I13" s="48"/>
      <c r="J13" s="48"/>
      <c r="K13" s="48"/>
      <c r="L13" s="48"/>
      <c r="M13" s="48"/>
    </row>
    <row r="14" spans="1:13">
      <c r="A14" s="48"/>
      <c r="B14" s="48"/>
      <c r="C14" s="48"/>
      <c r="D14" s="48"/>
      <c r="E14" s="48"/>
      <c r="F14" s="48"/>
      <c r="G14" s="48"/>
      <c r="H14" s="48"/>
      <c r="I14" s="48"/>
      <c r="J14" s="48"/>
      <c r="K14" s="48"/>
      <c r="L14" s="48"/>
      <c r="M14" s="48"/>
    </row>
    <row r="15" spans="1:13">
      <c r="A15" s="48"/>
      <c r="B15" s="48"/>
      <c r="C15" s="48"/>
      <c r="D15" s="48"/>
      <c r="E15" s="48"/>
      <c r="F15" s="48"/>
      <c r="G15" s="48"/>
      <c r="H15" s="48"/>
      <c r="I15" s="48"/>
      <c r="J15" s="48"/>
      <c r="K15" s="48"/>
      <c r="L15" s="48"/>
      <c r="M15" s="48"/>
    </row>
    <row r="16" spans="1:13">
      <c r="A16" s="48"/>
      <c r="B16" s="48"/>
      <c r="C16" s="48"/>
      <c r="D16" s="48"/>
      <c r="E16" s="48"/>
      <c r="F16" s="48"/>
      <c r="G16" s="48"/>
      <c r="H16" s="48"/>
      <c r="I16" s="48"/>
      <c r="J16" s="48"/>
      <c r="K16" s="48"/>
      <c r="L16" s="48"/>
      <c r="M16" s="48"/>
    </row>
    <row r="17" spans="1:13">
      <c r="A17" s="48"/>
      <c r="B17" s="48"/>
      <c r="C17" s="48"/>
      <c r="D17" s="48"/>
      <c r="E17" s="48"/>
      <c r="F17" s="48"/>
      <c r="G17" s="48"/>
      <c r="H17" s="48"/>
      <c r="I17" s="48"/>
      <c r="J17" s="48"/>
      <c r="K17" s="48"/>
      <c r="L17" s="48"/>
      <c r="M17" s="48"/>
    </row>
    <row r="18" spans="1:13">
      <c r="A18" s="48"/>
      <c r="B18" s="48"/>
      <c r="C18" s="48"/>
      <c r="D18" s="48"/>
      <c r="E18" s="48"/>
      <c r="F18" s="48"/>
      <c r="G18" s="48"/>
      <c r="H18" s="48"/>
      <c r="I18" s="48"/>
      <c r="J18" s="48"/>
      <c r="K18" s="48"/>
      <c r="L18" s="48"/>
      <c r="M18" s="48"/>
    </row>
    <row r="19" spans="1:13">
      <c r="A19" s="48"/>
      <c r="B19" s="48"/>
      <c r="C19" s="48"/>
      <c r="D19" s="48"/>
      <c r="E19" s="48"/>
      <c r="F19" s="48"/>
      <c r="G19" s="48"/>
      <c r="H19" s="48"/>
      <c r="I19" s="48"/>
      <c r="J19" s="48"/>
      <c r="K19" s="48"/>
      <c r="L19" s="48"/>
      <c r="M19" s="48"/>
    </row>
    <row r="20" spans="1:13">
      <c r="A20" s="48"/>
      <c r="B20" s="48"/>
      <c r="C20" s="48"/>
      <c r="D20" s="48"/>
      <c r="E20" s="48"/>
      <c r="F20" s="48"/>
      <c r="G20" s="48"/>
      <c r="H20" s="48"/>
      <c r="I20" s="48"/>
      <c r="J20" s="48"/>
      <c r="K20" s="48"/>
      <c r="L20" s="48"/>
      <c r="M20" s="48"/>
    </row>
    <row r="21" spans="1:13">
      <c r="A21" s="48"/>
      <c r="B21" s="48"/>
      <c r="C21" s="48"/>
      <c r="D21" s="48"/>
      <c r="E21" s="48"/>
      <c r="F21" s="48"/>
      <c r="G21" s="48"/>
      <c r="H21" s="48"/>
      <c r="I21" s="48"/>
      <c r="J21" s="48"/>
      <c r="K21" s="48"/>
      <c r="L21" s="48"/>
      <c r="M21" s="48"/>
    </row>
    <row r="22" spans="1:13">
      <c r="A22" s="48"/>
      <c r="B22" s="48"/>
      <c r="C22" s="48"/>
      <c r="D22" s="48"/>
      <c r="E22" s="48"/>
      <c r="F22" s="48"/>
      <c r="G22" s="48"/>
      <c r="H22" s="48"/>
      <c r="I22" s="48"/>
      <c r="J22" s="48"/>
      <c r="K22" s="48"/>
      <c r="L22" s="48"/>
      <c r="M22" s="48"/>
    </row>
    <row r="23" spans="1:13">
      <c r="A23" s="48"/>
      <c r="B23" s="48"/>
      <c r="C23" s="48"/>
      <c r="D23" s="48"/>
      <c r="E23" s="48"/>
      <c r="F23" s="48"/>
      <c r="G23" s="48"/>
      <c r="H23" s="48"/>
      <c r="I23" s="48"/>
      <c r="J23" s="48"/>
      <c r="K23" s="48"/>
      <c r="L23" s="48"/>
      <c r="M23" s="48"/>
    </row>
    <row r="24" spans="1:13">
      <c r="A24" s="48"/>
      <c r="B24" s="48"/>
      <c r="C24" s="48"/>
      <c r="D24" s="48"/>
      <c r="E24" s="48"/>
      <c r="F24" s="48"/>
      <c r="G24" s="48"/>
      <c r="H24" s="48"/>
      <c r="I24" s="48"/>
      <c r="J24" s="48"/>
      <c r="K24" s="48"/>
      <c r="L24" s="48"/>
      <c r="M24" s="48"/>
    </row>
    <row r="25" spans="1:13">
      <c r="A25" s="48"/>
      <c r="B25" s="48"/>
      <c r="C25" s="48"/>
      <c r="D25" s="48"/>
      <c r="E25" s="48"/>
      <c r="F25" s="48"/>
      <c r="G25" s="48"/>
      <c r="H25" s="48"/>
      <c r="I25" s="48"/>
      <c r="J25" s="48"/>
      <c r="K25" s="48"/>
      <c r="L25" s="48"/>
      <c r="M25" s="48"/>
    </row>
    <row r="26" spans="1:13">
      <c r="A26" s="48"/>
      <c r="B26" s="48"/>
      <c r="C26" s="48"/>
      <c r="D26" s="48"/>
      <c r="E26" s="48"/>
      <c r="F26" s="48"/>
      <c r="G26" s="48"/>
      <c r="H26" s="48"/>
      <c r="I26" s="48"/>
      <c r="J26" s="48"/>
      <c r="K26" s="48"/>
      <c r="L26" s="48"/>
      <c r="M26" s="48"/>
    </row>
    <row r="27" spans="1:13">
      <c r="A27" s="48"/>
      <c r="B27" s="48"/>
      <c r="C27" s="48"/>
      <c r="D27" s="48"/>
      <c r="E27" s="48"/>
      <c r="F27" s="48"/>
      <c r="G27" s="48"/>
      <c r="H27" s="48"/>
      <c r="I27" s="48"/>
      <c r="J27" s="48"/>
      <c r="K27" s="48"/>
      <c r="L27" s="48"/>
      <c r="M27" s="48"/>
    </row>
    <row r="28" spans="1:13">
      <c r="A28" s="48"/>
      <c r="B28" s="48"/>
      <c r="C28" s="48"/>
      <c r="D28" s="48"/>
      <c r="E28" s="48"/>
      <c r="F28" s="48"/>
      <c r="G28" s="48"/>
      <c r="H28" s="48"/>
      <c r="I28" s="48"/>
      <c r="J28" s="48"/>
      <c r="K28" s="48"/>
      <c r="L28" s="48"/>
      <c r="M28" s="48"/>
    </row>
    <row r="29" spans="1:13">
      <c r="A29" s="48"/>
      <c r="B29" s="48"/>
      <c r="C29" s="48"/>
      <c r="D29" s="48"/>
      <c r="E29" s="48"/>
      <c r="F29" s="48"/>
      <c r="G29" s="48"/>
      <c r="H29" s="48"/>
      <c r="I29" s="48"/>
      <c r="J29" s="48"/>
      <c r="K29" s="48"/>
      <c r="L29" s="48"/>
      <c r="M29" s="48"/>
    </row>
    <row r="30" spans="1:13">
      <c r="A30" s="48"/>
      <c r="B30" s="48"/>
      <c r="C30" s="48"/>
      <c r="D30" s="48"/>
      <c r="E30" s="48"/>
      <c r="F30" s="48"/>
      <c r="G30" s="48"/>
      <c r="H30" s="48"/>
      <c r="I30" s="48"/>
      <c r="J30" s="48"/>
      <c r="K30" s="48"/>
      <c r="L30" s="48"/>
      <c r="M30" s="48"/>
    </row>
    <row r="31" spans="1:13">
      <c r="A31" s="48"/>
      <c r="B31" s="48"/>
      <c r="C31" s="48"/>
      <c r="D31" s="48"/>
      <c r="E31" s="48"/>
      <c r="F31" s="48"/>
      <c r="G31" s="48"/>
      <c r="H31" s="48"/>
      <c r="I31" s="48"/>
      <c r="J31" s="48"/>
      <c r="K31" s="48"/>
      <c r="L31" s="48"/>
      <c r="M31" s="48"/>
    </row>
    <row r="32" spans="1:13">
      <c r="A32" s="48"/>
      <c r="B32" s="48"/>
      <c r="C32" s="48"/>
      <c r="D32" s="48"/>
      <c r="E32" s="48"/>
      <c r="F32" s="48"/>
      <c r="G32" s="48"/>
      <c r="H32" s="48"/>
      <c r="I32" s="48"/>
      <c r="J32" s="48"/>
      <c r="K32" s="48"/>
      <c r="L32" s="48"/>
      <c r="M32" s="48"/>
    </row>
    <row r="33" spans="1:13">
      <c r="A33" s="48"/>
      <c r="B33" s="48"/>
      <c r="C33" s="48"/>
      <c r="D33" s="48"/>
      <c r="E33" s="48"/>
      <c r="F33" s="48"/>
      <c r="G33" s="48"/>
      <c r="H33" s="48"/>
      <c r="I33" s="48"/>
      <c r="J33" s="48"/>
      <c r="K33" s="48"/>
      <c r="L33" s="48"/>
      <c r="M33" s="48"/>
    </row>
    <row r="34" spans="1:13">
      <c r="A34" s="48"/>
      <c r="B34" s="48"/>
      <c r="C34" s="48"/>
      <c r="D34" s="48"/>
      <c r="E34" s="48"/>
      <c r="F34" s="48"/>
      <c r="G34" s="48"/>
      <c r="H34" s="48"/>
      <c r="I34" s="48"/>
      <c r="J34" s="48"/>
      <c r="K34" s="48"/>
      <c r="L34" s="48"/>
      <c r="M34" s="48"/>
    </row>
    <row r="35" spans="1:13">
      <c r="A35" s="48"/>
      <c r="B35" s="48"/>
      <c r="C35" s="48"/>
      <c r="D35" s="48"/>
      <c r="E35" s="48"/>
      <c r="F35" s="48"/>
      <c r="G35" s="48"/>
      <c r="H35" s="48"/>
      <c r="I35" s="48"/>
      <c r="J35" s="48"/>
      <c r="K35" s="48"/>
      <c r="L35" s="48"/>
      <c r="M35" s="48"/>
    </row>
    <row r="36" spans="1:13">
      <c r="A36" s="48"/>
      <c r="B36" s="48"/>
      <c r="C36" s="48"/>
      <c r="D36" s="48"/>
      <c r="E36" s="48"/>
      <c r="F36" s="48"/>
      <c r="G36" s="48"/>
      <c r="H36" s="48"/>
      <c r="I36" s="48"/>
      <c r="J36" s="48"/>
      <c r="K36" s="48"/>
      <c r="L36" s="48"/>
      <c r="M36" s="48"/>
    </row>
    <row r="37" spans="1:13">
      <c r="A37" s="48"/>
      <c r="B37" s="48"/>
      <c r="C37" s="48"/>
      <c r="D37" s="48"/>
      <c r="E37" s="48"/>
      <c r="F37" s="48"/>
      <c r="G37" s="48"/>
      <c r="H37" s="48"/>
      <c r="I37" s="48"/>
      <c r="J37" s="48"/>
      <c r="K37" s="48"/>
      <c r="L37" s="48"/>
      <c r="M37" s="48"/>
    </row>
    <row r="38" spans="1:13">
      <c r="A38" s="48"/>
      <c r="B38" s="48"/>
      <c r="C38" s="48"/>
      <c r="D38" s="48"/>
      <c r="E38" s="48"/>
      <c r="F38" s="48"/>
      <c r="G38" s="48"/>
      <c r="H38" s="48"/>
      <c r="I38" s="48"/>
      <c r="J38" s="48"/>
      <c r="K38" s="48"/>
      <c r="L38" s="48"/>
      <c r="M38" s="48"/>
    </row>
    <row r="39" spans="1:13">
      <c r="A39" s="48"/>
      <c r="B39" s="48"/>
      <c r="C39" s="48"/>
      <c r="D39" s="48"/>
      <c r="E39" s="48"/>
      <c r="F39" s="48"/>
      <c r="G39" s="48"/>
      <c r="H39" s="48"/>
      <c r="I39" s="48"/>
      <c r="J39" s="48"/>
      <c r="K39" s="48"/>
      <c r="L39" s="48"/>
      <c r="M39" s="48"/>
    </row>
    <row r="40" spans="1:13">
      <c r="A40" s="48"/>
      <c r="B40" s="48"/>
      <c r="C40" s="48"/>
      <c r="D40" s="48"/>
      <c r="E40" s="48"/>
      <c r="F40" s="48"/>
      <c r="G40" s="48"/>
      <c r="H40" s="48"/>
      <c r="I40" s="48"/>
      <c r="J40" s="48"/>
      <c r="K40" s="48"/>
      <c r="L40" s="48"/>
      <c r="M40" s="48"/>
    </row>
    <row r="41" spans="1:13">
      <c r="A41" s="48"/>
      <c r="B41" s="48"/>
      <c r="C41" s="48"/>
      <c r="D41" s="48"/>
      <c r="E41" s="48"/>
      <c r="F41" s="48"/>
      <c r="G41" s="48"/>
      <c r="H41" s="48"/>
      <c r="I41" s="48"/>
      <c r="J41" s="48"/>
      <c r="K41" s="48"/>
      <c r="L41" s="48"/>
      <c r="M41" s="48"/>
    </row>
    <row r="42" spans="1:13">
      <c r="A42" s="48"/>
      <c r="B42" s="48"/>
      <c r="C42" s="48"/>
      <c r="D42" s="48"/>
      <c r="E42" s="48"/>
      <c r="F42" s="48"/>
      <c r="G42" s="48"/>
      <c r="H42" s="48"/>
      <c r="I42" s="48"/>
      <c r="J42" s="48"/>
      <c r="K42" s="48"/>
      <c r="L42" s="48"/>
      <c r="M42" s="48"/>
    </row>
    <row r="43" spans="1:13">
      <c r="A43" s="48"/>
      <c r="B43" s="48"/>
      <c r="C43" s="48"/>
      <c r="D43" s="48"/>
      <c r="E43" s="48"/>
      <c r="F43" s="48"/>
      <c r="G43" s="48"/>
      <c r="H43" s="48"/>
      <c r="I43" s="48"/>
      <c r="J43" s="48"/>
      <c r="K43" s="48"/>
      <c r="L43" s="48"/>
      <c r="M43" s="48"/>
    </row>
    <row r="44" spans="1:13">
      <c r="A44" s="48"/>
      <c r="B44" s="48"/>
      <c r="C44" s="48"/>
      <c r="D44" s="48"/>
      <c r="E44" s="48"/>
      <c r="F44" s="48"/>
      <c r="G44" s="48"/>
      <c r="H44" s="48"/>
      <c r="I44" s="48"/>
      <c r="J44" s="48"/>
      <c r="K44" s="48"/>
      <c r="L44" s="48"/>
      <c r="M44" s="48"/>
    </row>
    <row r="45" spans="1:13">
      <c r="A45" s="48"/>
      <c r="B45" s="48"/>
      <c r="C45" s="48"/>
      <c r="D45" s="48"/>
      <c r="E45" s="48"/>
      <c r="F45" s="48"/>
      <c r="G45" s="48"/>
      <c r="H45" s="48"/>
      <c r="I45" s="48"/>
      <c r="J45" s="48"/>
      <c r="K45" s="48"/>
      <c r="L45" s="48"/>
      <c r="M45" s="48"/>
    </row>
    <row r="46" spans="1:13">
      <c r="A46" s="48"/>
      <c r="B46" s="48"/>
      <c r="C46" s="48"/>
      <c r="D46" s="48"/>
      <c r="E46" s="48"/>
      <c r="F46" s="48"/>
      <c r="G46" s="48"/>
      <c r="H46" s="48"/>
      <c r="I46" s="48"/>
      <c r="J46" s="48"/>
      <c r="K46" s="48"/>
      <c r="L46" s="48"/>
      <c r="M46" s="48"/>
    </row>
    <row r="47" spans="1:13">
      <c r="A47" s="48"/>
      <c r="B47" s="48"/>
      <c r="C47" s="48"/>
      <c r="D47" s="48"/>
      <c r="E47" s="48"/>
      <c r="F47" s="48"/>
      <c r="G47" s="48"/>
      <c r="H47" s="48"/>
      <c r="I47" s="48"/>
      <c r="J47" s="48"/>
      <c r="K47" s="48"/>
      <c r="L47" s="48"/>
      <c r="M47" s="48"/>
    </row>
    <row r="48" spans="1:13">
      <c r="A48" s="48"/>
      <c r="B48" s="48"/>
      <c r="C48" s="48"/>
      <c r="D48" s="48"/>
      <c r="E48" s="48"/>
      <c r="F48" s="48"/>
      <c r="G48" s="48"/>
      <c r="H48" s="48"/>
      <c r="I48" s="48"/>
      <c r="J48" s="48"/>
      <c r="K48" s="48"/>
      <c r="L48" s="48"/>
      <c r="M48" s="48"/>
    </row>
    <row r="49" spans="1:13">
      <c r="A49" s="48"/>
      <c r="B49" s="48"/>
      <c r="C49" s="48"/>
      <c r="D49" s="48"/>
      <c r="E49" s="48"/>
      <c r="F49" s="48"/>
      <c r="G49" s="48"/>
      <c r="H49" s="48"/>
      <c r="I49" s="48"/>
      <c r="J49" s="48"/>
      <c r="K49" s="48"/>
      <c r="L49" s="48"/>
      <c r="M49" s="48"/>
    </row>
    <row r="50" spans="1:13">
      <c r="A50" s="48"/>
      <c r="B50" s="48"/>
      <c r="C50" s="48"/>
      <c r="D50" s="48"/>
      <c r="E50" s="48"/>
      <c r="F50" s="48"/>
      <c r="G50" s="48"/>
      <c r="H50" s="48"/>
      <c r="I50" s="48"/>
      <c r="J50" s="48"/>
      <c r="K50" s="48"/>
      <c r="L50" s="48"/>
      <c r="M50" s="48"/>
    </row>
    <row r="51" spans="1:13">
      <c r="A51" s="48"/>
      <c r="B51" s="48"/>
      <c r="C51" s="48"/>
      <c r="D51" s="48"/>
      <c r="E51" s="48"/>
      <c r="F51" s="48"/>
      <c r="G51" s="48"/>
      <c r="H51" s="48"/>
      <c r="I51" s="48"/>
      <c r="J51" s="48"/>
      <c r="K51" s="48"/>
      <c r="L51" s="48"/>
      <c r="M51" s="48"/>
    </row>
    <row r="52" spans="1:13">
      <c r="A52" s="48"/>
      <c r="B52" s="48"/>
      <c r="C52" s="48"/>
      <c r="D52" s="48"/>
      <c r="E52" s="48"/>
      <c r="F52" s="48"/>
      <c r="G52" s="48"/>
      <c r="H52" s="48"/>
      <c r="I52" s="48"/>
      <c r="J52" s="48"/>
      <c r="K52" s="48"/>
      <c r="L52" s="48"/>
      <c r="M52" s="48"/>
    </row>
    <row r="53" spans="1:13">
      <c r="A53" s="48"/>
      <c r="B53" s="48"/>
      <c r="C53" s="48"/>
      <c r="D53" s="48"/>
      <c r="E53" s="48"/>
      <c r="F53" s="48"/>
      <c r="G53" s="48"/>
      <c r="H53" s="48"/>
      <c r="I53" s="48"/>
      <c r="J53" s="48"/>
      <c r="K53" s="48"/>
      <c r="L53" s="48"/>
      <c r="M53" s="48"/>
    </row>
    <row r="54" spans="1:13">
      <c r="A54" s="48"/>
      <c r="B54" s="48"/>
      <c r="C54" s="48"/>
      <c r="D54" s="48"/>
      <c r="E54" s="48"/>
      <c r="F54" s="48"/>
      <c r="G54" s="48"/>
      <c r="H54" s="48"/>
      <c r="I54" s="48"/>
      <c r="J54" s="48"/>
      <c r="K54" s="48"/>
      <c r="L54" s="48"/>
      <c r="M54" s="48"/>
    </row>
    <row r="55" spans="1:13">
      <c r="A55" s="48"/>
      <c r="B55" s="48"/>
      <c r="C55" s="48"/>
      <c r="D55" s="48"/>
      <c r="E55" s="48"/>
      <c r="F55" s="48"/>
      <c r="G55" s="48"/>
      <c r="H55" s="48"/>
      <c r="I55" s="48"/>
      <c r="J55" s="48"/>
      <c r="K55" s="48"/>
      <c r="L55" s="48"/>
      <c r="M55" s="48"/>
    </row>
    <row r="56" spans="1:13">
      <c r="A56" s="48"/>
      <c r="B56" s="48"/>
      <c r="C56" s="48"/>
      <c r="D56" s="48"/>
      <c r="E56" s="48"/>
      <c r="F56" s="48"/>
      <c r="G56" s="48"/>
      <c r="H56" s="48"/>
      <c r="I56" s="48"/>
      <c r="J56" s="48"/>
      <c r="K56" s="48"/>
      <c r="L56" s="48"/>
      <c r="M56" s="48"/>
    </row>
    <row r="57" spans="1:13">
      <c r="A57" s="48"/>
      <c r="B57" s="48"/>
      <c r="C57" s="48"/>
      <c r="D57" s="48"/>
      <c r="E57" s="48"/>
      <c r="F57" s="48"/>
      <c r="G57" s="48"/>
      <c r="H57" s="48"/>
      <c r="I57" s="48"/>
      <c r="J57" s="48"/>
      <c r="K57" s="48"/>
      <c r="L57" s="48"/>
      <c r="M57" s="48"/>
    </row>
    <row r="58" spans="1:13">
      <c r="A58" s="48"/>
      <c r="B58" s="48"/>
      <c r="C58" s="48"/>
      <c r="D58" s="48"/>
      <c r="E58" s="48"/>
      <c r="F58" s="48"/>
      <c r="G58" s="48"/>
      <c r="H58" s="48"/>
      <c r="I58" s="48"/>
      <c r="J58" s="48"/>
      <c r="K58" s="48"/>
      <c r="L58" s="48"/>
      <c r="M58" s="48"/>
    </row>
    <row r="59" spans="1:13">
      <c r="A59" s="48"/>
      <c r="B59" s="48"/>
      <c r="C59" s="48"/>
      <c r="D59" s="48"/>
      <c r="E59" s="48"/>
      <c r="F59" s="48"/>
      <c r="G59" s="48"/>
      <c r="H59" s="48"/>
      <c r="I59" s="48"/>
      <c r="J59" s="48"/>
      <c r="K59" s="48"/>
      <c r="L59" s="48"/>
      <c r="M59" s="48"/>
    </row>
    <row r="60" spans="1:13">
      <c r="A60" s="48"/>
      <c r="B60" s="48"/>
      <c r="C60" s="48"/>
      <c r="D60" s="48"/>
      <c r="E60" s="48"/>
      <c r="F60" s="48"/>
      <c r="G60" s="48"/>
      <c r="H60" s="48"/>
      <c r="I60" s="48"/>
      <c r="J60" s="48"/>
      <c r="K60" s="48"/>
      <c r="L60" s="48"/>
      <c r="M60" s="48"/>
    </row>
  </sheetData>
  <printOptions horizontalCentered="1" verticalCentere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Stakeholder Letter</vt:lpstr>
      <vt:lpstr>Dashboard 1</vt:lpstr>
      <vt:lpstr>Dashboard 2</vt:lpstr>
      <vt:lpstr>References</vt:lpstr>
      <vt:lpstr>'Dashboard 1'!Print_Area</vt:lpstr>
      <vt:lpstr>'Dashboard 2'!Print_Area</vt:lpstr>
      <vt:lpstr>References!Print_Area</vt:lpstr>
      <vt:lpstr>'Stakeholder Letter'!Print_Area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Bindu Shree</dc:creator>
  <cp:keywords/>
  <dc:description/>
  <cp:lastModifiedBy>Bindu Shree</cp:lastModifiedBy>
  <cp:revision/>
  <cp:lastPrinted>2021-11-29T04:27:48Z</cp:lastPrinted>
  <dcterms:created xsi:type="dcterms:W3CDTF">2021-06-17T12:36:24Z</dcterms:created>
  <dcterms:modified xsi:type="dcterms:W3CDTF">2021-12-20T00:14:20Z</dcterms:modified>
  <cp:category/>
  <cp:contentStatus/>
</cp:coreProperties>
</file>